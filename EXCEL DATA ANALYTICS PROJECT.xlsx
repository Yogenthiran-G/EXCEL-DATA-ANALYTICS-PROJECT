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8_{02B83841-C8F7-4DFE-9C8F-23848667887A}" xr6:coauthVersionLast="47" xr6:coauthVersionMax="47" xr10:uidLastSave="{00000000-0000-0000-0000-000000000000}"/>
  <bookViews>
    <workbookView xWindow="-120" yWindow="-120" windowWidth="20730" windowHeight="11040" xr2:uid="{00000000-000D-0000-FFFF-FFFF00000000}"/>
  </bookViews>
  <sheets>
    <sheet name="case study" sheetId="7" r:id="rId1"/>
    <sheet name="pivot table &amp; charts" sheetId="9" r:id="rId2"/>
  </sheets>
  <definedNames>
    <definedName name="Slicer_City">#N/A</definedName>
    <definedName name="Slicer_City1">#N/A</definedName>
    <definedName name="Slicer_Sales_person">#N/A</definedName>
  </definedNames>
  <calcPr calcId="191028"/>
  <pivotCaches>
    <pivotCache cacheId="0" r:id="rId3"/>
    <pivotCache cacheId="1" r:id="rId4"/>
    <pivotCache cacheId="6" r:id="rId5"/>
    <pivotCache cacheId="1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9" i="7" l="1"/>
  <c r="F40" i="7"/>
  <c r="F41" i="7"/>
  <c r="F42" i="7"/>
  <c r="F43" i="7"/>
  <c r="F44" i="7"/>
  <c r="F45" i="7"/>
  <c r="F46" i="7"/>
  <c r="F47" i="7"/>
  <c r="F48" i="7"/>
  <c r="F49" i="7"/>
  <c r="F50" i="7"/>
  <c r="F51" i="7"/>
  <c r="F52" i="7"/>
  <c r="F53" i="7"/>
  <c r="F54" i="7"/>
  <c r="F55" i="7"/>
  <c r="F56" i="7"/>
  <c r="F57" i="7"/>
  <c r="F38" i="7"/>
  <c r="E39" i="7"/>
  <c r="E40" i="7"/>
  <c r="E41" i="7"/>
  <c r="E42" i="7"/>
  <c r="E43" i="7"/>
  <c r="E44" i="7"/>
  <c r="E45" i="7"/>
  <c r="E46" i="7"/>
  <c r="E47" i="7"/>
  <c r="E48" i="7"/>
  <c r="E49" i="7"/>
  <c r="E50" i="7"/>
  <c r="E51" i="7"/>
  <c r="E52" i="7"/>
  <c r="E53" i="7"/>
  <c r="E54" i="7"/>
  <c r="E55" i="7"/>
  <c r="E56" i="7"/>
  <c r="E57" i="7"/>
  <c r="E38" i="7"/>
  <c r="K26" i="7"/>
  <c r="I26" i="7"/>
  <c r="M4" i="7"/>
  <c r="M5" i="7"/>
  <c r="M6" i="7"/>
  <c r="M7" i="7"/>
  <c r="M8" i="7"/>
  <c r="M9" i="7"/>
  <c r="M10" i="7"/>
  <c r="M11" i="7"/>
  <c r="M12" i="7"/>
  <c r="M13" i="7"/>
  <c r="M14" i="7"/>
  <c r="M15" i="7"/>
  <c r="M16" i="7"/>
  <c r="M17" i="7"/>
  <c r="M18" i="7"/>
  <c r="M19" i="7"/>
  <c r="M20" i="7"/>
  <c r="M21" i="7"/>
  <c r="M22" i="7"/>
  <c r="M23" i="7"/>
  <c r="L4" i="7"/>
  <c r="N4" i="7" s="1" a="1"/>
  <c r="N4" i="7" s="1"/>
  <c r="L5" i="7"/>
  <c r="N5" i="7" s="1" a="1"/>
  <c r="N5" i="7" s="1"/>
  <c r="L6" i="7"/>
  <c r="N6" i="7" s="1" a="1"/>
  <c r="N6" i="7" s="1"/>
  <c r="L7" i="7"/>
  <c r="N7" i="7" s="1" a="1"/>
  <c r="N7" i="7" s="1"/>
  <c r="L8" i="7"/>
  <c r="N8" i="7" s="1" a="1"/>
  <c r="N8" i="7" s="1"/>
  <c r="L9" i="7"/>
  <c r="N9" i="7" s="1" a="1"/>
  <c r="N9" i="7" s="1"/>
  <c r="L10" i="7"/>
  <c r="N10" i="7" s="1" a="1"/>
  <c r="N10" i="7" s="1"/>
  <c r="L11" i="7"/>
  <c r="N11" i="7" s="1" a="1"/>
  <c r="N11" i="7" s="1"/>
  <c r="L12" i="7"/>
  <c r="N12" i="7" s="1" a="1"/>
  <c r="N12" i="7" s="1"/>
  <c r="L13" i="7"/>
  <c r="N13" i="7" s="1" a="1"/>
  <c r="N13" i="7" s="1"/>
  <c r="L14" i="7"/>
  <c r="N14" i="7" s="1" a="1"/>
  <c r="N14" i="7" s="1"/>
  <c r="L15" i="7"/>
  <c r="N15" i="7" s="1" a="1"/>
  <c r="N15" i="7" s="1"/>
  <c r="L16" i="7"/>
  <c r="N16" i="7" s="1" a="1"/>
  <c r="N16" i="7" s="1"/>
  <c r="L17" i="7"/>
  <c r="N17" i="7" s="1" a="1"/>
  <c r="N17" i="7" s="1"/>
  <c r="L18" i="7"/>
  <c r="N18" i="7" s="1" a="1"/>
  <c r="N18" i="7" s="1"/>
  <c r="L19" i="7"/>
  <c r="N19" i="7" s="1" a="1"/>
  <c r="N19" i="7" s="1"/>
  <c r="L20" i="7"/>
  <c r="N20" i="7" s="1" a="1"/>
  <c r="N20" i="7" s="1"/>
  <c r="L21" i="7"/>
  <c r="N21" i="7" s="1" a="1"/>
  <c r="N21" i="7" s="1"/>
  <c r="L22" i="7"/>
  <c r="N22" i="7" s="1" a="1"/>
  <c r="N22" i="7" s="1"/>
  <c r="L23" i="7"/>
  <c r="N23" i="7" s="1" a="1"/>
  <c r="N23" i="7" s="1"/>
  <c r="K6" i="7" a="1"/>
  <c r="K6" i="7" s="1"/>
  <c r="K7" i="7" a="1"/>
  <c r="K7" i="7" s="1"/>
  <c r="K9" i="7" a="1"/>
  <c r="K9" i="7" s="1"/>
  <c r="K10" i="7" a="1"/>
  <c r="K10" i="7" s="1"/>
  <c r="K12" i="7" a="1"/>
  <c r="K12" i="7" s="1"/>
  <c r="K13" i="7" a="1"/>
  <c r="K13" i="7" s="1"/>
  <c r="K15" i="7" a="1"/>
  <c r="K15" i="7" s="1"/>
  <c r="K16" i="7" a="1"/>
  <c r="K16" i="7" s="1"/>
  <c r="K18" i="7" a="1"/>
  <c r="K18" i="7" s="1"/>
  <c r="K19" i="7" a="1"/>
  <c r="K19" i="7" s="1"/>
  <c r="K21" i="7" a="1"/>
  <c r="K21" i="7" s="1"/>
  <c r="K22" i="7" a="1"/>
  <c r="K22" i="7" s="1"/>
  <c r="K4" i="7" a="1"/>
  <c r="K4" i="7" s="1"/>
  <c r="O15" i="7" l="1"/>
  <c r="P19" i="7"/>
  <c r="P11" i="7"/>
  <c r="O14" i="7"/>
  <c r="P18" i="7"/>
  <c r="P10" i="7"/>
  <c r="O7" i="7"/>
  <c r="P17" i="7"/>
  <c r="P9" i="7"/>
  <c r="O6" i="7"/>
  <c r="P16" i="7"/>
  <c r="P8" i="7"/>
  <c r="P23" i="7"/>
  <c r="P15" i="7"/>
  <c r="P7" i="7"/>
  <c r="P22" i="7"/>
  <c r="P14" i="7"/>
  <c r="P6" i="7"/>
  <c r="O23" i="7"/>
  <c r="P21" i="7"/>
  <c r="P13" i="7"/>
  <c r="P5" i="7"/>
  <c r="O22" i="7"/>
  <c r="P20" i="7"/>
  <c r="P12" i="7"/>
  <c r="P4" i="7"/>
  <c r="O11" i="7"/>
  <c r="O21" i="7"/>
  <c r="O19" i="7"/>
  <c r="O18" i="7"/>
  <c r="O10" i="7"/>
  <c r="O13" i="7"/>
  <c r="O5" i="7"/>
  <c r="O12" i="7"/>
  <c r="O17" i="7"/>
  <c r="O9" i="7"/>
  <c r="O20" i="7"/>
  <c r="O4" i="7"/>
  <c r="O16" i="7"/>
  <c r="O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<sst xmlns="http://schemas.openxmlformats.org/spreadsheetml/2006/main" count="341" uniqueCount="104">
  <si>
    <t>EXCEL DATA ANALYTICS PROJECT</t>
  </si>
  <si>
    <t>O.ID</t>
  </si>
  <si>
    <t>Date</t>
  </si>
  <si>
    <t>Customer</t>
  </si>
  <si>
    <t>Products</t>
  </si>
  <si>
    <t>Category</t>
  </si>
  <si>
    <t>City</t>
  </si>
  <si>
    <t>Sales person</t>
  </si>
  <si>
    <t>Qty</t>
  </si>
  <si>
    <t>Unite price</t>
  </si>
  <si>
    <t>Discount</t>
  </si>
  <si>
    <t>Seniority</t>
  </si>
  <si>
    <t>Final Amount</t>
  </si>
  <si>
    <t>Qty &amp; Discount check</t>
  </si>
  <si>
    <t>Order Status</t>
  </si>
  <si>
    <t xml:space="preserve">Electronics sales </t>
  </si>
  <si>
    <t>GST</t>
  </si>
  <si>
    <t>Arun</t>
  </si>
  <si>
    <t>Laptop</t>
  </si>
  <si>
    <t>Electronics</t>
  </si>
  <si>
    <t>Chennai</t>
  </si>
  <si>
    <t>Priya</t>
  </si>
  <si>
    <t>Divya</t>
  </si>
  <si>
    <t>Chair</t>
  </si>
  <si>
    <t>Furniture</t>
  </si>
  <si>
    <t>Madurai</t>
  </si>
  <si>
    <t>Kumar</t>
  </si>
  <si>
    <t>Vijay</t>
  </si>
  <si>
    <t>Phone</t>
  </si>
  <si>
    <t>Coimbatore</t>
  </si>
  <si>
    <t>Meena</t>
  </si>
  <si>
    <t>Table</t>
  </si>
  <si>
    <t>Trichy</t>
  </si>
  <si>
    <t>Ravi</t>
  </si>
  <si>
    <t>Karthik</t>
  </si>
  <si>
    <t>Printer</t>
  </si>
  <si>
    <t>Salem</t>
  </si>
  <si>
    <t>Sneha</t>
  </si>
  <si>
    <t>Moniter</t>
  </si>
  <si>
    <t>Rahul</t>
  </si>
  <si>
    <t>Sofa</t>
  </si>
  <si>
    <t>Anitha</t>
  </si>
  <si>
    <t>Keyboard</t>
  </si>
  <si>
    <t>Suresh</t>
  </si>
  <si>
    <t>Dining table</t>
  </si>
  <si>
    <t>Kavitha</t>
  </si>
  <si>
    <t>Mouse</t>
  </si>
  <si>
    <t>Dinesh</t>
  </si>
  <si>
    <t>Bed</t>
  </si>
  <si>
    <t>Lakshimi</t>
  </si>
  <si>
    <t>Head phone</t>
  </si>
  <si>
    <t>Prakash</t>
  </si>
  <si>
    <t>Cub board</t>
  </si>
  <si>
    <t>Revathi</t>
  </si>
  <si>
    <t>Smart Watch</t>
  </si>
  <si>
    <t>Hari</t>
  </si>
  <si>
    <t>Book shelf</t>
  </si>
  <si>
    <t>Nisha</t>
  </si>
  <si>
    <t>Tablet</t>
  </si>
  <si>
    <t>Gokul</t>
  </si>
  <si>
    <t>Office Chair</t>
  </si>
  <si>
    <t>Asha</t>
  </si>
  <si>
    <t>External Hard Disk</t>
  </si>
  <si>
    <t>Sanjay</t>
  </si>
  <si>
    <t>TV Stand</t>
  </si>
  <si>
    <t>Keerthi</t>
  </si>
  <si>
    <t>Air Conditioner</t>
  </si>
  <si>
    <t>Total 'Unite price' for 'Category' 'Electronics'</t>
  </si>
  <si>
    <t>Total 'Unite price' for 'Products' 'Laptop'</t>
  </si>
  <si>
    <t>Total Blanks cells</t>
  </si>
  <si>
    <t>Find the product</t>
  </si>
  <si>
    <t>(Multiple Items)</t>
  </si>
  <si>
    <t>Sum of Unite price</t>
  </si>
  <si>
    <t>11.Total 'Final Amount' by 'Category'</t>
  </si>
  <si>
    <t>Sum of Final Amount</t>
  </si>
  <si>
    <t>Grand Total</t>
  </si>
  <si>
    <t>12.Average Final Amount</t>
  </si>
  <si>
    <t>Row Labels</t>
  </si>
  <si>
    <t>Average of Final Amount</t>
  </si>
  <si>
    <t>13.Total 'Qty', total 'Unite price', total 'Discount', and total 'Final Amount' by 'Products'</t>
  </si>
  <si>
    <t>Sum of Qty</t>
  </si>
  <si>
    <t>14.Category-Wise Sales by City</t>
  </si>
  <si>
    <t>Column Labels</t>
  </si>
  <si>
    <t>15.Product Based on Unite Price</t>
  </si>
  <si>
    <t>High Value</t>
  </si>
  <si>
    <t>Low Value</t>
  </si>
  <si>
    <t>Medium Value</t>
  </si>
  <si>
    <t>16.Total 'GST' and total 'Final Amount' by 'Products'</t>
  </si>
  <si>
    <t>Sum of GST</t>
  </si>
  <si>
    <t>17. Interactive Dashbord</t>
  </si>
  <si>
    <t>1)KPI Cards</t>
  </si>
  <si>
    <t>Count of O.ID</t>
  </si>
  <si>
    <t>2)charts</t>
  </si>
  <si>
    <t>Sales by City</t>
  </si>
  <si>
    <t>Sales by Category</t>
  </si>
  <si>
    <t>Top 5 Products</t>
  </si>
  <si>
    <t>Sales Trend</t>
  </si>
  <si>
    <r>
      <t>1</t>
    </r>
    <r>
      <rPr>
        <b/>
        <i/>
        <sz val="12"/>
        <color theme="1"/>
        <rFont val="Times New Roman"/>
        <family val="1"/>
      </rPr>
      <t>8.Recomended City : Chennai</t>
    </r>
  </si>
  <si>
    <t>19.Recomened award Winner : Priya</t>
  </si>
  <si>
    <t>Final amount</t>
  </si>
  <si>
    <t>Saled amount</t>
  </si>
  <si>
    <t>Sum of Final amount</t>
  </si>
  <si>
    <t>customer name</t>
  </si>
  <si>
    <t>20.TOP 5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</si>
</sst>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3" x14ac:knownFonts="1">
    <font>
      <sz val="11"/>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
      <b/>
      <i/>
      <sz val="11"/>
      <color rgb="FF000000"/>
      <name val="Times New Roman"/>
      <family val="1"/>
    </font>
    <font>
      <sz val="48"/>
      <color theme="1"/>
      <name val="Times New Roman"/>
      <family val="1"/>
    </font>
    <font>
      <b/>
      <i/>
      <sz val="11"/>
      <color theme="1"/>
      <name val="Times New Roman"/>
      <family val="1"/>
    </font>
    <font>
      <b/>
      <i/>
      <sz val="11"/>
      <color rgb="FF000000"/>
      <name val="Calibri"/>
      <family val="2"/>
      <scheme val="minor"/>
    </font>
    <font>
      <b/>
      <i/>
      <sz val="12"/>
      <color theme="1"/>
      <name val="Times New Roman"/>
      <family val="1"/>
    </font>
    <font>
      <b/>
      <sz val="12"/>
      <color theme="1"/>
      <name val="Times New Roman"/>
      <family val="1"/>
    </font>
    <font>
      <i/>
      <sz val="12"/>
      <color theme="1"/>
      <name val="Times New Roman"/>
      <family val="1"/>
    </font>
    <font>
      <b/>
      <i/>
      <sz val="11"/>
      <color theme="0"/>
      <name val="Times New Roman"/>
      <family val="1"/>
    </font>
    <font>
      <sz val="72"/>
      <color theme="1"/>
      <name val="ADLaM Display"/>
    </font>
  </fonts>
  <fills count="3">
    <fill>
      <patternFill patternType="none"/>
    </fill>
    <fill>
      <patternFill patternType="gray125"/>
    </fill>
    <fill>
      <patternFill patternType="solid">
        <fgColor theme="4"/>
        <bgColor theme="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4">
    <xf numFmtId="0" fontId="0" fillId="0" borderId="0" xfId="0"/>
    <xf numFmtId="0" fontId="1" fillId="0" borderId="0" xfId="0" applyFont="1"/>
    <xf numFmtId="0" fontId="3" fillId="0" borderId="0" xfId="0" applyFont="1"/>
    <xf numFmtId="0" fontId="4" fillId="0" borderId="0" xfId="0" applyFont="1" applyAlignment="1">
      <alignment horizontal="left" vertical="center"/>
    </xf>
    <xf numFmtId="0" fontId="3" fillId="0" borderId="0" xfId="0" pivotButton="1" applyFont="1"/>
    <xf numFmtId="0" fontId="1" fillId="0" borderId="0" xfId="0" pivotButton="1" applyFont="1"/>
    <xf numFmtId="0" fontId="3" fillId="0" borderId="5" xfId="0" applyFont="1" applyBorder="1"/>
    <xf numFmtId="164" fontId="3" fillId="0" borderId="1" xfId="0" applyNumberFormat="1" applyFont="1" applyBorder="1"/>
    <xf numFmtId="0" fontId="3" fillId="0" borderId="1" xfId="0" applyFont="1" applyBorder="1"/>
    <xf numFmtId="0" fontId="3" fillId="0" borderId="6" xfId="0" applyFont="1" applyBorder="1"/>
    <xf numFmtId="0" fontId="3" fillId="0" borderId="7" xfId="0" applyFont="1" applyBorder="1"/>
    <xf numFmtId="164" fontId="3" fillId="0" borderId="8" xfId="0" applyNumberFormat="1" applyFont="1" applyBorder="1"/>
    <xf numFmtId="0" fontId="3" fillId="0" borderId="8" xfId="0" applyFont="1" applyBorder="1"/>
    <xf numFmtId="0" fontId="3" fillId="0" borderId="9" xfId="0" applyFont="1" applyBorder="1"/>
    <xf numFmtId="0" fontId="2" fillId="0" borderId="2" xfId="0" applyFont="1" applyBorder="1" applyAlignment="1">
      <alignment horizontal="center" vertical="center" wrapText="1"/>
    </xf>
    <xf numFmtId="164" fontId="2"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3" fillId="0" borderId="3" xfId="0" applyFont="1" applyBorder="1"/>
    <xf numFmtId="0" fontId="5" fillId="0" borderId="0" xfId="0" applyFont="1" applyAlignment="1">
      <alignment horizontal="center" vertical="center"/>
    </xf>
    <xf numFmtId="0" fontId="6" fillId="0" borderId="0" xfId="0" applyFont="1"/>
    <xf numFmtId="0" fontId="2" fillId="0" borderId="1" xfId="0" applyFont="1" applyBorder="1" applyAlignment="1">
      <alignment horizontal="center" vertical="center" wrapText="1"/>
    </xf>
    <xf numFmtId="0" fontId="7" fillId="0" borderId="0" xfId="0" applyFont="1" applyAlignment="1">
      <alignment horizontal="left" vertical="center"/>
    </xf>
    <xf numFmtId="0" fontId="3" fillId="0" borderId="1" xfId="0" pivotButton="1" applyFont="1" applyBorder="1"/>
    <xf numFmtId="0" fontId="3" fillId="0" borderId="1" xfId="0" applyFont="1" applyBorder="1" applyAlignment="1">
      <alignment horizontal="left"/>
    </xf>
    <xf numFmtId="0" fontId="6" fillId="0" borderId="1" xfId="0" pivotButton="1" applyFont="1" applyBorder="1"/>
    <xf numFmtId="0" fontId="6" fillId="0" borderId="1" xfId="0" applyFont="1" applyBorder="1"/>
    <xf numFmtId="0" fontId="0" fillId="0" borderId="1" xfId="0" pivotButton="1" applyBorder="1"/>
    <xf numFmtId="0" fontId="0" fillId="0" borderId="1" xfId="0" applyBorder="1" applyAlignment="1">
      <alignment horizontal="left"/>
    </xf>
    <xf numFmtId="0" fontId="8" fillId="0" borderId="0" xfId="0" applyFont="1"/>
    <xf numFmtId="0" fontId="9" fillId="0" borderId="0" xfId="0" applyFont="1"/>
    <xf numFmtId="0" fontId="10" fillId="0" borderId="0" xfId="0" applyFont="1"/>
    <xf numFmtId="164" fontId="3" fillId="0" borderId="1" xfId="0" applyNumberFormat="1" applyFont="1" applyBorder="1" applyAlignment="1">
      <alignment horizontal="left"/>
    </xf>
    <xf numFmtId="0" fontId="0" fillId="0" borderId="1" xfId="0" applyBorder="1"/>
    <xf numFmtId="0" fontId="0" fillId="0" borderId="1" xfId="0" applyNumberFormat="1" applyBorder="1"/>
    <xf numFmtId="0" fontId="3" fillId="0" borderId="1" xfId="0" applyNumberFormat="1" applyFont="1" applyBorder="1"/>
    <xf numFmtId="0" fontId="3" fillId="0" borderId="0" xfId="0" applyFont="1" applyAlignment="1">
      <alignment horizontal="left"/>
    </xf>
    <xf numFmtId="0" fontId="3" fillId="0" borderId="0" xfId="0" applyNumberFormat="1" applyFont="1"/>
    <xf numFmtId="0" fontId="6" fillId="0" borderId="0" xfId="0" pivotButton="1" applyFont="1"/>
    <xf numFmtId="0" fontId="0" fillId="0" borderId="0" xfId="0" applyFont="1" applyAlignment="1">
      <alignment horizontal="left"/>
    </xf>
    <xf numFmtId="0" fontId="11" fillId="2" borderId="1" xfId="0" applyFont="1" applyFill="1" applyBorder="1" applyAlignment="1">
      <alignment horizontal="center" vertical="center" wrapText="1"/>
    </xf>
    <xf numFmtId="0" fontId="12" fillId="0" borderId="0" xfId="0" applyFont="1"/>
  </cellXfs>
  <cellStyles count="1">
    <cellStyle name="Normal" xfId="0" builtinId="0"/>
  </cellStyles>
  <dxfs count="978">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i/>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i/>
      </font>
    </dxf>
    <dxf>
      <font>
        <i/>
      </font>
    </dxf>
    <dxf>
      <font>
        <name val="Times New Roman"/>
        <family val="1"/>
        <scheme val="none"/>
      </font>
    </dxf>
    <dxf>
      <font>
        <b/>
      </font>
    </dxf>
    <dxf>
      <font>
        <b/>
      </font>
    </dxf>
    <dxf>
      <font>
        <b/>
      </font>
    </dxf>
    <dxf>
      <font>
        <b/>
      </font>
    </dxf>
    <dxf>
      <font>
        <b/>
      </font>
    </dxf>
    <dxf>
      <font>
        <b/>
      </font>
    </dxf>
    <dxf>
      <font>
        <i/>
      </font>
    </dxf>
    <dxf>
      <font>
        <i/>
      </font>
    </dxf>
    <dxf>
      <font>
        <i/>
      </font>
    </dxf>
    <dxf>
      <font>
        <i/>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i/>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font>
        <b/>
      </font>
    </dxf>
    <dxf>
      <font>
        <b/>
      </font>
    </dxf>
    <dxf>
      <font>
        <i/>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i/>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i/>
      </font>
    </dxf>
    <dxf>
      <font>
        <i/>
      </font>
    </dxf>
    <dxf>
      <font>
        <name val="Times New Roman"/>
        <family val="1"/>
        <scheme val="none"/>
      </font>
    </dxf>
    <dxf>
      <font>
        <b/>
      </font>
    </dxf>
    <dxf>
      <font>
        <b/>
      </font>
    </dxf>
    <dxf>
      <font>
        <b/>
      </font>
    </dxf>
    <dxf>
      <font>
        <b/>
      </font>
    </dxf>
    <dxf>
      <font>
        <b/>
      </font>
    </dxf>
    <dxf>
      <font>
        <b/>
      </font>
    </dxf>
    <dxf>
      <font>
        <i/>
      </font>
    </dxf>
    <dxf>
      <font>
        <i/>
      </font>
    </dxf>
    <dxf>
      <font>
        <i/>
      </font>
    </dxf>
    <dxf>
      <font>
        <i/>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i/>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font>
        <b/>
      </font>
    </dxf>
    <dxf>
      <font>
        <b/>
      </font>
    </dxf>
    <dxf>
      <font>
        <i/>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i/>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i/>
      </font>
    </dxf>
    <dxf>
      <font>
        <i/>
      </font>
    </dxf>
    <dxf>
      <font>
        <name val="Times New Roman"/>
        <family val="1"/>
        <scheme val="none"/>
      </font>
    </dxf>
    <dxf>
      <font>
        <b/>
      </font>
    </dxf>
    <dxf>
      <font>
        <b/>
      </font>
    </dxf>
    <dxf>
      <font>
        <b/>
      </font>
    </dxf>
    <dxf>
      <font>
        <b/>
      </font>
    </dxf>
    <dxf>
      <font>
        <b/>
      </font>
    </dxf>
    <dxf>
      <font>
        <b/>
      </font>
    </dxf>
    <dxf>
      <font>
        <i/>
      </font>
    </dxf>
    <dxf>
      <font>
        <i/>
      </font>
    </dxf>
    <dxf>
      <font>
        <i/>
      </font>
    </dxf>
    <dxf>
      <font>
        <i/>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i/>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font>
        <b/>
      </font>
    </dxf>
    <dxf>
      <font>
        <b/>
      </font>
    </dxf>
    <dxf>
      <font>
        <i/>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i/>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i/>
      </font>
    </dxf>
    <dxf>
      <font>
        <i/>
      </font>
    </dxf>
    <dxf>
      <font>
        <name val="Times New Roman"/>
        <family val="1"/>
        <scheme val="none"/>
      </font>
    </dxf>
    <dxf>
      <font>
        <b/>
      </font>
    </dxf>
    <dxf>
      <font>
        <b/>
      </font>
    </dxf>
    <dxf>
      <font>
        <b/>
      </font>
    </dxf>
    <dxf>
      <font>
        <b/>
      </font>
    </dxf>
    <dxf>
      <font>
        <b/>
      </font>
    </dxf>
    <dxf>
      <font>
        <b/>
      </font>
    </dxf>
    <dxf>
      <font>
        <i/>
      </font>
    </dxf>
    <dxf>
      <font>
        <i/>
      </font>
    </dxf>
    <dxf>
      <font>
        <i/>
      </font>
    </dxf>
    <dxf>
      <font>
        <i/>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i/>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font>
        <b/>
      </font>
    </dxf>
    <dxf>
      <font>
        <b/>
      </font>
    </dxf>
    <dxf>
      <font>
        <i/>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font>
    </dxf>
    <dxf>
      <font>
        <i/>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i/>
      </font>
    </dxf>
    <dxf>
      <font>
        <i/>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i/>
      </font>
    </dxf>
    <dxf>
      <font>
        <i/>
      </font>
    </dxf>
    <dxf>
      <font>
        <b/>
      </font>
    </dxf>
    <dxf>
      <font>
        <b/>
      </font>
    </dxf>
    <dxf>
      <font>
        <i/>
      </font>
    </dxf>
    <dxf>
      <font>
        <i/>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font>
    </dxf>
    <dxf>
      <font>
        <i/>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i/>
      </font>
    </dxf>
    <dxf>
      <font>
        <i/>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font>
    </dxf>
    <dxf>
      <font>
        <i/>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font>
    </dxf>
    <dxf>
      <font>
        <i/>
      </font>
    </dxf>
    <dxf>
      <font>
        <i/>
      </font>
    </dxf>
    <dxf>
      <font>
        <i/>
      </font>
    </dxf>
    <dxf>
      <font>
        <i/>
      </font>
    </dxf>
    <dxf>
      <font>
        <i/>
      </font>
    </dxf>
    <dxf>
      <font>
        <b/>
      </font>
    </dxf>
    <dxf>
      <font>
        <b/>
      </font>
    </dxf>
    <dxf>
      <font>
        <b/>
      </font>
    </dxf>
    <dxf>
      <font>
        <b/>
      </font>
    </dxf>
    <dxf>
      <font>
        <b/>
      </font>
    </dxf>
    <dxf>
      <font>
        <b/>
      </font>
    </dxf>
    <dxf>
      <font>
        <name val="Times New Roman"/>
        <family val="1"/>
        <scheme val="none"/>
      </font>
    </dxf>
    <dxf>
      <font>
        <i/>
      </font>
    </dxf>
    <dxf>
      <font>
        <i/>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font>
    </dxf>
    <dxf>
      <font>
        <i/>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i/>
      </font>
    </dxf>
    <dxf>
      <font>
        <i/>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i/>
      </font>
    </dxf>
    <dxf>
      <font>
        <i/>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trike val="0"/>
        <outline val="0"/>
        <shadow val="0"/>
        <u val="none"/>
        <vertAlign val="baseline"/>
        <sz val="11"/>
        <color theme="1"/>
        <name val="Times New Roman"/>
        <family val="1"/>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imes New Roman"/>
        <family val="1"/>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imes New Roman"/>
        <family val="1"/>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imes New Roman"/>
        <family val="1"/>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imes New Roman"/>
        <family val="1"/>
        <scheme val="none"/>
      </font>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imes New Roman"/>
        <family val="1"/>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imes New Roman"/>
        <family val="1"/>
        <scheme val="none"/>
      </font>
      <numFmt numFmtId="164"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imes New Roman"/>
        <family val="1"/>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dxf>
    <dxf>
      <border>
        <bottom style="thin">
          <color indexed="64"/>
        </bottom>
      </border>
    </dxf>
    <dxf>
      <font>
        <b/>
        <i val="0"/>
        <strike val="0"/>
        <condense val="0"/>
        <extend val="0"/>
        <outline val="0"/>
        <shadow val="0"/>
        <u val="none"/>
        <vertAlign val="baseline"/>
        <sz val="11"/>
        <color theme="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pivotCacheDefinition" Target="pivotCache/pivotCacheDefinition1.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styles" Target="styles.xml"/><Relationship Id="rId5" Type="http://schemas.openxmlformats.org/officeDocument/2006/relationships/pivotCacheDefinition" Target="pivotCache/pivotCacheDefinition3.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2.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study.xlsx]pivot table &amp; charts!PivotTable3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n-US"/>
              <a:t>'Final Amount'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98252772270177"/>
          <c:y val="0.17802690582959643"/>
          <c:w val="0.80627053714000485"/>
          <c:h val="0.54618057271988985"/>
        </c:manualLayout>
      </c:layout>
      <c:barChart>
        <c:barDir val="bar"/>
        <c:grouping val="clustered"/>
        <c:varyColors val="0"/>
        <c:ser>
          <c:idx val="0"/>
          <c:order val="0"/>
          <c:tx>
            <c:strRef>
              <c:f>'pivot table &amp; charts'!$D$8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&amp; charts'!$C$9:$C$11</c:f>
              <c:strCache>
                <c:ptCount val="2"/>
                <c:pt idx="0">
                  <c:v>Electronics</c:v>
                </c:pt>
                <c:pt idx="1">
                  <c:v>Furniture</c:v>
                </c:pt>
              </c:strCache>
            </c:strRef>
          </c:cat>
          <c:val>
            <c:numRef>
              <c:f>'pivot table &amp; charts'!$D$9:$D$11</c:f>
              <c:numCache>
                <c:formatCode>General</c:formatCode>
                <c:ptCount val="2"/>
                <c:pt idx="0">
                  <c:v>2087400</c:v>
                </c:pt>
                <c:pt idx="1">
                  <c:v>1292000</c:v>
                </c:pt>
              </c:numCache>
            </c:numRef>
          </c:val>
          <c:extLst>
            <c:ext xmlns:c16="http://schemas.microsoft.com/office/drawing/2014/chart" uri="{C3380CC4-5D6E-409C-BE32-E72D297353CC}">
              <c16:uniqueId val="{00000000-4D57-4514-8849-B89FF0AFA201}"/>
            </c:ext>
          </c:extLst>
        </c:ser>
        <c:dLbls>
          <c:dLblPos val="inEnd"/>
          <c:showLegendKey val="0"/>
          <c:showVal val="1"/>
          <c:showCatName val="0"/>
          <c:showSerName val="0"/>
          <c:showPercent val="0"/>
          <c:showBubbleSize val="0"/>
        </c:dLbls>
        <c:gapWidth val="65"/>
        <c:axId val="1291806336"/>
        <c:axId val="1291806816"/>
      </c:barChart>
      <c:catAx>
        <c:axId val="1291806336"/>
        <c:scaling>
          <c:orientation val="maxMin"/>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n-IN"/>
                  <a:t>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1291806816"/>
        <c:crosses val="autoZero"/>
        <c:auto val="1"/>
        <c:lblAlgn val="ctr"/>
        <c:lblOffset val="100"/>
        <c:noMultiLvlLbl val="0"/>
      </c:catAx>
      <c:valAx>
        <c:axId val="129180681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n-IN"/>
                  <a:t>Final Amount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1291806336"/>
        <c:crosses val="max"/>
        <c:crossBetween val="between"/>
        <c:dispUnits>
          <c:builtInUnit val="thousands"/>
          <c:dispUnitsLbl>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n-IN"/>
              <a:t>Average Total</a:t>
            </a:r>
          </a:p>
        </c:rich>
      </c:tx>
      <c:layout>
        <c:manualLayout>
          <c:xMode val="edge"/>
          <c:yMode val="edge"/>
          <c:x val="0.32732260138425151"/>
          <c:y val="3.907864563644467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507-4DB6-B182-03414510C07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507-4DB6-B182-03414510C07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507-4DB6-B182-03414510C0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Kumar</c:v>
              </c:pt>
              <c:pt idx="1">
                <c:v>Priya</c:v>
              </c:pt>
              <c:pt idx="2">
                <c:v>Ravi</c:v>
              </c:pt>
            </c:strLit>
          </c:cat>
          <c:val>
            <c:numLit>
              <c:formatCode>General</c:formatCode>
              <c:ptCount val="3"/>
              <c:pt idx="0">
                <c:v>179642.85714285713</c:v>
              </c:pt>
              <c:pt idx="1">
                <c:v>235485.71428571429</c:v>
              </c:pt>
              <c:pt idx="2">
                <c:v>78916.666666666672</c:v>
              </c:pt>
            </c:numLit>
          </c:val>
          <c:extLst>
            <c:ext xmlns:c16="http://schemas.microsoft.com/office/drawing/2014/chart" uri="{C3380CC4-5D6E-409C-BE32-E72D297353CC}">
              <c16:uniqueId val="{00000006-A507-4DB6-B182-03414510C079}"/>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a:t>'Qty Sales by 'Products'</a:t>
            </a:r>
          </a:p>
        </c:rich>
      </c:tx>
      <c:layout>
        <c:manualLayout>
          <c:xMode val="edge"/>
          <c:yMode val="edge"/>
          <c:x val="0.13206233595800526"/>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0"/>
              <c:pt idx="0">
                <c:v>Air Conditioner</c:v>
              </c:pt>
              <c:pt idx="1">
                <c:v>Bed</c:v>
              </c:pt>
              <c:pt idx="2">
                <c:v>Book shelf</c:v>
              </c:pt>
              <c:pt idx="3">
                <c:v>Chair</c:v>
              </c:pt>
              <c:pt idx="4">
                <c:v>Cub board</c:v>
              </c:pt>
              <c:pt idx="5">
                <c:v>Dining table</c:v>
              </c:pt>
              <c:pt idx="6">
                <c:v>External Hard Disk</c:v>
              </c:pt>
              <c:pt idx="7">
                <c:v>Head phone</c:v>
              </c:pt>
              <c:pt idx="8">
                <c:v>Keyboard</c:v>
              </c:pt>
              <c:pt idx="9">
                <c:v>Laptop</c:v>
              </c:pt>
              <c:pt idx="10">
                <c:v>Moniter</c:v>
              </c:pt>
              <c:pt idx="11">
                <c:v>Mouse</c:v>
              </c:pt>
              <c:pt idx="12">
                <c:v>Office Chair</c:v>
              </c:pt>
              <c:pt idx="13">
                <c:v>Phone</c:v>
              </c:pt>
              <c:pt idx="14">
                <c:v>Printer</c:v>
              </c:pt>
              <c:pt idx="15">
                <c:v>Smart Watch</c:v>
              </c:pt>
              <c:pt idx="16">
                <c:v>Sofa</c:v>
              </c:pt>
              <c:pt idx="17">
                <c:v>Table</c:v>
              </c:pt>
              <c:pt idx="18">
                <c:v>Tablet</c:v>
              </c:pt>
              <c:pt idx="19">
                <c:v>TV Stand</c:v>
              </c:pt>
            </c:strLit>
          </c:cat>
          <c:val>
            <c:numLit>
              <c:formatCode>General</c:formatCode>
              <c:ptCount val="20"/>
              <c:pt idx="0">
                <c:v>1</c:v>
              </c:pt>
              <c:pt idx="1">
                <c:v>2</c:v>
              </c:pt>
              <c:pt idx="2">
                <c:v>3</c:v>
              </c:pt>
              <c:pt idx="3">
                <c:v>5</c:v>
              </c:pt>
              <c:pt idx="4">
                <c:v>2</c:v>
              </c:pt>
              <c:pt idx="5">
                <c:v>2</c:v>
              </c:pt>
              <c:pt idx="6">
                <c:v>3</c:v>
              </c:pt>
              <c:pt idx="7">
                <c:v>5</c:v>
              </c:pt>
              <c:pt idx="8">
                <c:v>6</c:v>
              </c:pt>
              <c:pt idx="9">
                <c:v>2</c:v>
              </c:pt>
              <c:pt idx="10">
                <c:v>3</c:v>
              </c:pt>
              <c:pt idx="11">
                <c:v>10</c:v>
              </c:pt>
              <c:pt idx="12">
                <c:v>4</c:v>
              </c:pt>
              <c:pt idx="13">
                <c:v>3</c:v>
              </c:pt>
              <c:pt idx="14">
                <c:v>4</c:v>
              </c:pt>
              <c:pt idx="15">
                <c:v>4</c:v>
              </c:pt>
              <c:pt idx="16">
                <c:v>1</c:v>
              </c:pt>
              <c:pt idx="17">
                <c:v>2</c:v>
              </c:pt>
              <c:pt idx="18">
                <c:v>2</c:v>
              </c:pt>
              <c:pt idx="19">
                <c:v>2</c:v>
              </c:pt>
            </c:numLit>
          </c:val>
          <c:extLst>
            <c:ext xmlns:c16="http://schemas.microsoft.com/office/drawing/2014/chart" uri="{C3380CC4-5D6E-409C-BE32-E72D297353CC}">
              <c16:uniqueId val="{00000000-34BC-412C-9485-F70FAD6B443C}"/>
            </c:ext>
          </c:extLst>
        </c:ser>
        <c:dLbls>
          <c:dLblPos val="inEnd"/>
          <c:showLegendKey val="0"/>
          <c:showVal val="1"/>
          <c:showCatName val="0"/>
          <c:showSerName val="0"/>
          <c:showPercent val="0"/>
          <c:showBubbleSize val="0"/>
        </c:dLbls>
        <c:gapWidth val="115"/>
        <c:overlap val="-20"/>
        <c:axId val="1416900160"/>
        <c:axId val="1416908320"/>
      </c:barChart>
      <c:catAx>
        <c:axId val="1416900160"/>
        <c:scaling>
          <c:orientation val="maxMin"/>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Times New Roman" panose="02020603050405020304" pitchFamily="18" charset="0"/>
                    <a:ea typeface="+mn-ea"/>
                    <a:cs typeface="Times New Roman" panose="02020603050405020304" pitchFamily="18" charset="0"/>
                  </a:defRPr>
                </a:pPr>
                <a:r>
                  <a:rPr lang="en-IN"/>
                  <a:t>Products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1416908320"/>
        <c:crosses val="autoZero"/>
        <c:auto val="1"/>
        <c:lblAlgn val="ctr"/>
        <c:lblOffset val="100"/>
        <c:noMultiLvlLbl val="0"/>
      </c:catAx>
      <c:valAx>
        <c:axId val="141690832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1416900160"/>
        <c:crosses val="max"/>
        <c:crossBetween val="between"/>
        <c:dispUnits>
          <c:builtInUnit val="thousands"/>
          <c:dispUnitsLbl>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723268493627929E-2"/>
          <c:y val="6.0093896713615022E-2"/>
          <c:w val="0.86303980797308377"/>
          <c:h val="0.87155580200362281"/>
        </c:manualLayout>
      </c:layout>
      <c:barChart>
        <c:barDir val="col"/>
        <c:grouping val="clustered"/>
        <c:varyColors val="0"/>
        <c:ser>
          <c:idx val="0"/>
          <c:order val="0"/>
          <c:tx>
            <c:v>Chennai</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Electronics</c:v>
              </c:pt>
              <c:pt idx="1">
                <c:v>Furniture</c:v>
              </c:pt>
            </c:strLit>
          </c:cat>
          <c:val>
            <c:numLit>
              <c:formatCode>General</c:formatCode>
              <c:ptCount val="2"/>
              <c:pt idx="0">
                <c:v>982000</c:v>
              </c:pt>
              <c:pt idx="1">
                <c:v>300000</c:v>
              </c:pt>
            </c:numLit>
          </c:val>
          <c:extLst>
            <c:ext xmlns:c16="http://schemas.microsoft.com/office/drawing/2014/chart" uri="{C3380CC4-5D6E-409C-BE32-E72D297353CC}">
              <c16:uniqueId val="{00000000-3C31-4012-B5B0-07EA9614F313}"/>
            </c:ext>
          </c:extLst>
        </c:ser>
        <c:ser>
          <c:idx val="1"/>
          <c:order val="1"/>
          <c:tx>
            <c:v>Coimbatore</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Electronics</c:v>
              </c:pt>
              <c:pt idx="1">
                <c:v>Furniture</c:v>
              </c:pt>
            </c:strLit>
          </c:cat>
          <c:val>
            <c:numLit>
              <c:formatCode>General</c:formatCode>
              <c:ptCount val="2"/>
              <c:pt idx="0">
                <c:v>220000</c:v>
              </c:pt>
              <c:pt idx="1">
                <c:v>189000</c:v>
              </c:pt>
            </c:numLit>
          </c:val>
          <c:extLst>
            <c:ext xmlns:c16="http://schemas.microsoft.com/office/drawing/2014/chart" uri="{C3380CC4-5D6E-409C-BE32-E72D297353CC}">
              <c16:uniqueId val="{00000001-3C31-4012-B5B0-07EA9614F313}"/>
            </c:ext>
          </c:extLst>
        </c:ser>
        <c:ser>
          <c:idx val="2"/>
          <c:order val="2"/>
          <c:tx>
            <c:v>Madurai</c:v>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Electronics</c:v>
              </c:pt>
              <c:pt idx="1">
                <c:v>Furniture</c:v>
              </c:pt>
            </c:strLit>
          </c:cat>
          <c:val>
            <c:numLit>
              <c:formatCode>General</c:formatCode>
              <c:ptCount val="2"/>
              <c:pt idx="0">
                <c:v>17500</c:v>
              </c:pt>
              <c:pt idx="1">
                <c:v>455000</c:v>
              </c:pt>
            </c:numLit>
          </c:val>
          <c:extLst>
            <c:ext xmlns:c16="http://schemas.microsoft.com/office/drawing/2014/chart" uri="{C3380CC4-5D6E-409C-BE32-E72D297353CC}">
              <c16:uniqueId val="{00000002-3C31-4012-B5B0-07EA9614F313}"/>
            </c:ext>
          </c:extLst>
        </c:ser>
        <c:ser>
          <c:idx val="3"/>
          <c:order val="3"/>
          <c:tx>
            <c:v>Salem</c:v>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Electronics</c:v>
              </c:pt>
              <c:pt idx="1">
                <c:v>Furniture</c:v>
              </c:pt>
            </c:strLit>
          </c:cat>
          <c:val>
            <c:numLit>
              <c:formatCode>General</c:formatCode>
              <c:ptCount val="2"/>
              <c:pt idx="0">
                <c:v>812400</c:v>
              </c:pt>
              <c:pt idx="1">
                <c:v>42000</c:v>
              </c:pt>
            </c:numLit>
          </c:val>
          <c:extLst>
            <c:ext xmlns:c16="http://schemas.microsoft.com/office/drawing/2014/chart" uri="{C3380CC4-5D6E-409C-BE32-E72D297353CC}">
              <c16:uniqueId val="{00000003-3C31-4012-B5B0-07EA9614F313}"/>
            </c:ext>
          </c:extLst>
        </c:ser>
        <c:ser>
          <c:idx val="4"/>
          <c:order val="4"/>
          <c:tx>
            <c:v>Trichy</c:v>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Electronics</c:v>
              </c:pt>
              <c:pt idx="1">
                <c:v>Furniture</c:v>
              </c:pt>
            </c:strLit>
          </c:cat>
          <c:val>
            <c:numLit>
              <c:formatCode>General</c:formatCode>
              <c:ptCount val="2"/>
              <c:pt idx="0">
                <c:v>55500</c:v>
              </c:pt>
              <c:pt idx="1">
                <c:v>306000</c:v>
              </c:pt>
            </c:numLit>
          </c:val>
          <c:extLst>
            <c:ext xmlns:c16="http://schemas.microsoft.com/office/drawing/2014/chart" uri="{C3380CC4-5D6E-409C-BE32-E72D297353CC}">
              <c16:uniqueId val="{00000004-3C31-4012-B5B0-07EA9614F313}"/>
            </c:ext>
          </c:extLst>
        </c:ser>
        <c:dLbls>
          <c:dLblPos val="inEnd"/>
          <c:showLegendKey val="0"/>
          <c:showVal val="1"/>
          <c:showCatName val="0"/>
          <c:showSerName val="0"/>
          <c:showPercent val="0"/>
          <c:showBubbleSize val="0"/>
        </c:dLbls>
        <c:gapWidth val="65"/>
        <c:axId val="1399211536"/>
        <c:axId val="1421518384"/>
      </c:barChart>
      <c:catAx>
        <c:axId val="13992115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1518384"/>
        <c:crosses val="autoZero"/>
        <c:auto val="1"/>
        <c:lblAlgn val="ctr"/>
        <c:lblOffset val="100"/>
        <c:noMultiLvlLbl val="0"/>
      </c:catAx>
      <c:valAx>
        <c:axId val="14215183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992115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Categorization PRODUCTS Price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High Value</c:v>
          </c:tx>
          <c:spPr>
            <a:solidFill>
              <a:schemeClr val="accent1">
                <a:alpha val="85000"/>
              </a:schemeClr>
            </a:solidFill>
            <a:ln w="9525" cap="flat" cmpd="sng" algn="ctr">
              <a:solidFill>
                <a:schemeClr val="lt1">
                  <a:alpha val="50000"/>
                </a:schemeClr>
              </a:solidFill>
              <a:round/>
            </a:ln>
            <a:effectLst/>
          </c:spPr>
          <c:invertIfNegative val="0"/>
          <c:cat>
            <c:strLit>
              <c:ptCount val="20"/>
              <c:pt idx="0">
                <c:v>Air Conditioner</c:v>
              </c:pt>
              <c:pt idx="1">
                <c:v>Bed</c:v>
              </c:pt>
              <c:pt idx="2">
                <c:v>Book shelf</c:v>
              </c:pt>
              <c:pt idx="3">
                <c:v>Chair</c:v>
              </c:pt>
              <c:pt idx="4">
                <c:v>Cub board</c:v>
              </c:pt>
              <c:pt idx="5">
                <c:v>Dining table</c:v>
              </c:pt>
              <c:pt idx="6">
                <c:v>External Hard Disk</c:v>
              </c:pt>
              <c:pt idx="7">
                <c:v>Head phone</c:v>
              </c:pt>
              <c:pt idx="8">
                <c:v>Keyboard</c:v>
              </c:pt>
              <c:pt idx="9">
                <c:v>Laptop</c:v>
              </c:pt>
              <c:pt idx="10">
                <c:v>Moniter</c:v>
              </c:pt>
              <c:pt idx="11">
                <c:v>Mouse</c:v>
              </c:pt>
              <c:pt idx="12">
                <c:v>Office Chair</c:v>
              </c:pt>
              <c:pt idx="13">
                <c:v>Phone</c:v>
              </c:pt>
              <c:pt idx="14">
                <c:v>Printer</c:v>
              </c:pt>
              <c:pt idx="15">
                <c:v>Smart Watch</c:v>
              </c:pt>
              <c:pt idx="16">
                <c:v>Sofa</c:v>
              </c:pt>
              <c:pt idx="17">
                <c:v>Table</c:v>
              </c:pt>
              <c:pt idx="18">
                <c:v>Tablet</c:v>
              </c:pt>
              <c:pt idx="19">
                <c:v>TV Stand</c:v>
              </c:pt>
            </c:strLit>
          </c:cat>
          <c:val>
            <c:numLit>
              <c:formatCode>General</c:formatCode>
              <c:ptCount val="20"/>
              <c:pt idx="0">
                <c:v>42000</c:v>
              </c:pt>
              <c:pt idx="1">
                <c:v>30000</c:v>
              </c:pt>
              <c:pt idx="2">
                <c:v>0</c:v>
              </c:pt>
              <c:pt idx="3">
                <c:v>0</c:v>
              </c:pt>
              <c:pt idx="4">
                <c:v>22000</c:v>
              </c:pt>
              <c:pt idx="5">
                <c:v>18000</c:v>
              </c:pt>
              <c:pt idx="6">
                <c:v>0</c:v>
              </c:pt>
              <c:pt idx="7">
                <c:v>0</c:v>
              </c:pt>
              <c:pt idx="8">
                <c:v>0</c:v>
              </c:pt>
              <c:pt idx="9">
                <c:v>55000</c:v>
              </c:pt>
              <c:pt idx="10">
                <c:v>18000</c:v>
              </c:pt>
              <c:pt idx="11">
                <c:v>0</c:v>
              </c:pt>
              <c:pt idx="12">
                <c:v>0</c:v>
              </c:pt>
              <c:pt idx="13">
                <c:v>20000</c:v>
              </c:pt>
              <c:pt idx="14">
                <c:v>15000</c:v>
              </c:pt>
              <c:pt idx="15">
                <c:v>0</c:v>
              </c:pt>
              <c:pt idx="16">
                <c:v>25000</c:v>
              </c:pt>
              <c:pt idx="17">
                <c:v>0</c:v>
              </c:pt>
              <c:pt idx="18">
                <c:v>28000</c:v>
              </c:pt>
              <c:pt idx="19">
                <c:v>0</c:v>
              </c:pt>
            </c:numLit>
          </c:val>
          <c:extLst>
            <c:ext xmlns:c16="http://schemas.microsoft.com/office/drawing/2014/chart" uri="{C3380CC4-5D6E-409C-BE32-E72D297353CC}">
              <c16:uniqueId val="{00000000-0258-4FD2-8AB3-CBFEAD13D0F9}"/>
            </c:ext>
          </c:extLst>
        </c:ser>
        <c:ser>
          <c:idx val="1"/>
          <c:order val="1"/>
          <c:tx>
            <c:v>Low Value</c:v>
          </c:tx>
          <c:spPr>
            <a:solidFill>
              <a:schemeClr val="accent2">
                <a:alpha val="85000"/>
              </a:schemeClr>
            </a:solidFill>
            <a:ln w="9525" cap="flat" cmpd="sng" algn="ctr">
              <a:solidFill>
                <a:schemeClr val="lt1">
                  <a:alpha val="50000"/>
                </a:schemeClr>
              </a:solidFill>
              <a:round/>
            </a:ln>
            <a:effectLst/>
          </c:spPr>
          <c:invertIfNegative val="0"/>
          <c:cat>
            <c:strLit>
              <c:ptCount val="20"/>
              <c:pt idx="0">
                <c:v>Air Conditioner</c:v>
              </c:pt>
              <c:pt idx="1">
                <c:v>Bed</c:v>
              </c:pt>
              <c:pt idx="2">
                <c:v>Book shelf</c:v>
              </c:pt>
              <c:pt idx="3">
                <c:v>Chair</c:v>
              </c:pt>
              <c:pt idx="4">
                <c:v>Cub board</c:v>
              </c:pt>
              <c:pt idx="5">
                <c:v>Dining table</c:v>
              </c:pt>
              <c:pt idx="6">
                <c:v>External Hard Disk</c:v>
              </c:pt>
              <c:pt idx="7">
                <c:v>Head phone</c:v>
              </c:pt>
              <c:pt idx="8">
                <c:v>Keyboard</c:v>
              </c:pt>
              <c:pt idx="9">
                <c:v>Laptop</c:v>
              </c:pt>
              <c:pt idx="10">
                <c:v>Moniter</c:v>
              </c:pt>
              <c:pt idx="11">
                <c:v>Mouse</c:v>
              </c:pt>
              <c:pt idx="12">
                <c:v>Office Chair</c:v>
              </c:pt>
              <c:pt idx="13">
                <c:v>Phone</c:v>
              </c:pt>
              <c:pt idx="14">
                <c:v>Printer</c:v>
              </c:pt>
              <c:pt idx="15">
                <c:v>Smart Watch</c:v>
              </c:pt>
              <c:pt idx="16">
                <c:v>Sofa</c:v>
              </c:pt>
              <c:pt idx="17">
                <c:v>Table</c:v>
              </c:pt>
              <c:pt idx="18">
                <c:v>Tablet</c:v>
              </c:pt>
              <c:pt idx="19">
                <c:v>TV Stand</c:v>
              </c:pt>
            </c:strLit>
          </c:cat>
          <c:val>
            <c:numLit>
              <c:formatCode>General</c:formatCode>
              <c:ptCount val="20"/>
              <c:pt idx="0">
                <c:v>0</c:v>
              </c:pt>
              <c:pt idx="1">
                <c:v>0</c:v>
              </c:pt>
              <c:pt idx="2">
                <c:v>0</c:v>
              </c:pt>
              <c:pt idx="3">
                <c:v>3000</c:v>
              </c:pt>
              <c:pt idx="4">
                <c:v>0</c:v>
              </c:pt>
              <c:pt idx="5">
                <c:v>0</c:v>
              </c:pt>
              <c:pt idx="6">
                <c:v>0</c:v>
              </c:pt>
              <c:pt idx="7">
                <c:v>2500</c:v>
              </c:pt>
              <c:pt idx="8">
                <c:v>1500</c:v>
              </c:pt>
              <c:pt idx="9">
                <c:v>0</c:v>
              </c:pt>
              <c:pt idx="10">
                <c:v>0</c:v>
              </c:pt>
              <c:pt idx="11">
                <c:v>800</c:v>
              </c:pt>
              <c:pt idx="12">
                <c:v>0</c:v>
              </c:pt>
              <c:pt idx="13">
                <c:v>0</c:v>
              </c:pt>
              <c:pt idx="14">
                <c:v>0</c:v>
              </c:pt>
              <c:pt idx="15">
                <c:v>0</c:v>
              </c:pt>
              <c:pt idx="16">
                <c:v>0</c:v>
              </c:pt>
              <c:pt idx="17">
                <c:v>0</c:v>
              </c:pt>
              <c:pt idx="18">
                <c:v>0</c:v>
              </c:pt>
              <c:pt idx="19">
                <c:v>0</c:v>
              </c:pt>
            </c:numLit>
          </c:val>
          <c:extLst>
            <c:ext xmlns:c16="http://schemas.microsoft.com/office/drawing/2014/chart" uri="{C3380CC4-5D6E-409C-BE32-E72D297353CC}">
              <c16:uniqueId val="{00000001-0258-4FD2-8AB3-CBFEAD13D0F9}"/>
            </c:ext>
          </c:extLst>
        </c:ser>
        <c:ser>
          <c:idx val="2"/>
          <c:order val="2"/>
          <c:tx>
            <c:v>Medium Value</c:v>
          </c:tx>
          <c:spPr>
            <a:solidFill>
              <a:schemeClr val="accent3">
                <a:alpha val="85000"/>
              </a:schemeClr>
            </a:solidFill>
            <a:ln w="9525" cap="flat" cmpd="sng" algn="ctr">
              <a:solidFill>
                <a:schemeClr val="lt1">
                  <a:alpha val="50000"/>
                </a:schemeClr>
              </a:solidFill>
              <a:round/>
            </a:ln>
            <a:effectLst/>
          </c:spPr>
          <c:invertIfNegative val="0"/>
          <c:cat>
            <c:strLit>
              <c:ptCount val="20"/>
              <c:pt idx="0">
                <c:v>Air Conditioner</c:v>
              </c:pt>
              <c:pt idx="1">
                <c:v>Bed</c:v>
              </c:pt>
              <c:pt idx="2">
                <c:v>Book shelf</c:v>
              </c:pt>
              <c:pt idx="3">
                <c:v>Chair</c:v>
              </c:pt>
              <c:pt idx="4">
                <c:v>Cub board</c:v>
              </c:pt>
              <c:pt idx="5">
                <c:v>Dining table</c:v>
              </c:pt>
              <c:pt idx="6">
                <c:v>External Hard Disk</c:v>
              </c:pt>
              <c:pt idx="7">
                <c:v>Head phone</c:v>
              </c:pt>
              <c:pt idx="8">
                <c:v>Keyboard</c:v>
              </c:pt>
              <c:pt idx="9">
                <c:v>Laptop</c:v>
              </c:pt>
              <c:pt idx="10">
                <c:v>Moniter</c:v>
              </c:pt>
              <c:pt idx="11">
                <c:v>Mouse</c:v>
              </c:pt>
              <c:pt idx="12">
                <c:v>Office Chair</c:v>
              </c:pt>
              <c:pt idx="13">
                <c:v>Phone</c:v>
              </c:pt>
              <c:pt idx="14">
                <c:v>Printer</c:v>
              </c:pt>
              <c:pt idx="15">
                <c:v>Smart Watch</c:v>
              </c:pt>
              <c:pt idx="16">
                <c:v>Sofa</c:v>
              </c:pt>
              <c:pt idx="17">
                <c:v>Table</c:v>
              </c:pt>
              <c:pt idx="18">
                <c:v>Tablet</c:v>
              </c:pt>
              <c:pt idx="19">
                <c:v>TV Stand</c:v>
              </c:pt>
            </c:strLit>
          </c:cat>
          <c:val>
            <c:numLit>
              <c:formatCode>General</c:formatCode>
              <c:ptCount val="20"/>
              <c:pt idx="0">
                <c:v>0</c:v>
              </c:pt>
              <c:pt idx="1">
                <c:v>0</c:v>
              </c:pt>
              <c:pt idx="2">
                <c:v>7000</c:v>
              </c:pt>
              <c:pt idx="3">
                <c:v>0</c:v>
              </c:pt>
              <c:pt idx="4">
                <c:v>0</c:v>
              </c:pt>
              <c:pt idx="5">
                <c:v>0</c:v>
              </c:pt>
              <c:pt idx="6">
                <c:v>6000</c:v>
              </c:pt>
              <c:pt idx="7">
                <c:v>0</c:v>
              </c:pt>
              <c:pt idx="8">
                <c:v>0</c:v>
              </c:pt>
              <c:pt idx="9">
                <c:v>0</c:v>
              </c:pt>
              <c:pt idx="10">
                <c:v>0</c:v>
              </c:pt>
              <c:pt idx="11">
                <c:v>0</c:v>
              </c:pt>
              <c:pt idx="12">
                <c:v>6500</c:v>
              </c:pt>
              <c:pt idx="13">
                <c:v>0</c:v>
              </c:pt>
              <c:pt idx="14">
                <c:v>0</c:v>
              </c:pt>
              <c:pt idx="15">
                <c:v>12000</c:v>
              </c:pt>
              <c:pt idx="16">
                <c:v>0</c:v>
              </c:pt>
              <c:pt idx="17">
                <c:v>7000</c:v>
              </c:pt>
              <c:pt idx="18">
                <c:v>0</c:v>
              </c:pt>
              <c:pt idx="19">
                <c:v>9000</c:v>
              </c:pt>
            </c:numLit>
          </c:val>
          <c:extLst>
            <c:ext xmlns:c16="http://schemas.microsoft.com/office/drawing/2014/chart" uri="{C3380CC4-5D6E-409C-BE32-E72D297353CC}">
              <c16:uniqueId val="{00000002-0258-4FD2-8AB3-CBFEAD13D0F9}"/>
            </c:ext>
          </c:extLst>
        </c:ser>
        <c:dLbls>
          <c:showLegendKey val="0"/>
          <c:showVal val="0"/>
          <c:showCatName val="0"/>
          <c:showSerName val="0"/>
          <c:showPercent val="0"/>
          <c:showBubbleSize val="0"/>
        </c:dLbls>
        <c:gapWidth val="65"/>
        <c:axId val="1411893120"/>
        <c:axId val="1411896960"/>
      </c:barChart>
      <c:catAx>
        <c:axId val="14118931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1896960"/>
        <c:crosses val="autoZero"/>
        <c:auto val="1"/>
        <c:lblAlgn val="ctr"/>
        <c:lblOffset val="100"/>
        <c:noMultiLvlLbl val="0"/>
      </c:catAx>
      <c:valAx>
        <c:axId val="141189696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118931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pivotFmt>
      <c:pivotFmt>
        <c:idx val="55"/>
        <c:spPr>
          <a:solidFill>
            <a:schemeClr val="accent1"/>
          </a:solidFill>
          <a:ln>
            <a:noFill/>
          </a:ln>
          <a:effectLst>
            <a:outerShdw blurRad="317500" algn="ctr" rotWithShape="0">
              <a:prstClr val="black">
                <a:alpha val="25000"/>
              </a:prstClr>
            </a:outerShdw>
          </a:effectLst>
        </c:spPr>
      </c:pivotFmt>
      <c:pivotFmt>
        <c:idx val="56"/>
        <c:spPr>
          <a:solidFill>
            <a:schemeClr val="accent1"/>
          </a:solidFill>
          <a:ln>
            <a:noFill/>
          </a:ln>
          <a:effectLst>
            <a:outerShdw blurRad="317500" algn="ctr" rotWithShape="0">
              <a:prstClr val="black">
                <a:alpha val="25000"/>
              </a:prstClr>
            </a:outerShdw>
          </a:effectLst>
        </c:spPr>
      </c:pivotFmt>
      <c:pivotFmt>
        <c:idx val="57"/>
        <c:spPr>
          <a:solidFill>
            <a:schemeClr val="accent1"/>
          </a:solidFill>
          <a:ln>
            <a:noFill/>
          </a:ln>
          <a:effectLst>
            <a:outerShdw blurRad="317500" algn="ctr" rotWithShape="0">
              <a:prstClr val="black">
                <a:alpha val="25000"/>
              </a:prstClr>
            </a:outerShdw>
          </a:effectLst>
        </c:spPr>
      </c:pivotFmt>
      <c:pivotFmt>
        <c:idx val="58"/>
        <c:spPr>
          <a:solidFill>
            <a:schemeClr val="accent1"/>
          </a:solidFill>
          <a:ln>
            <a:noFill/>
          </a:ln>
          <a:effectLst>
            <a:outerShdw blurRad="317500" algn="ctr" rotWithShape="0">
              <a:prstClr val="black">
                <a:alpha val="25000"/>
              </a:prstClr>
            </a:outerShdw>
          </a:effectLst>
        </c:spPr>
      </c:pivotFmt>
      <c:pivotFmt>
        <c:idx val="59"/>
        <c:spPr>
          <a:solidFill>
            <a:schemeClr val="accent1"/>
          </a:solidFill>
          <a:ln>
            <a:noFill/>
          </a:ln>
          <a:effectLst>
            <a:outerShdw blurRad="317500" algn="ctr" rotWithShape="0">
              <a:prstClr val="black">
                <a:alpha val="25000"/>
              </a:prstClr>
            </a:outerShdw>
          </a:effectLst>
        </c:spPr>
      </c:pivotFmt>
      <c:pivotFmt>
        <c:idx val="60"/>
        <c:spPr>
          <a:solidFill>
            <a:schemeClr val="accent1"/>
          </a:solidFill>
          <a:ln>
            <a:noFill/>
          </a:ln>
          <a:effectLst>
            <a:outerShdw blurRad="317500" algn="ctr" rotWithShape="0">
              <a:prstClr val="black">
                <a:alpha val="25000"/>
              </a:prstClr>
            </a:outerShdw>
          </a:effectLst>
        </c:spPr>
      </c:pivotFmt>
      <c:pivotFmt>
        <c:idx val="61"/>
        <c:spPr>
          <a:solidFill>
            <a:schemeClr val="accent1"/>
          </a:solidFill>
          <a:ln>
            <a:noFill/>
          </a:ln>
          <a:effectLst>
            <a:outerShdw blurRad="317500" algn="ctr" rotWithShape="0">
              <a:prstClr val="black">
                <a:alpha val="25000"/>
              </a:prstClr>
            </a:outerShdw>
          </a:effectLst>
        </c:spPr>
      </c:pivotFmt>
      <c:pivotFmt>
        <c:idx val="62"/>
        <c:spPr>
          <a:solidFill>
            <a:schemeClr val="accent1"/>
          </a:solidFill>
          <a:ln>
            <a:noFill/>
          </a:ln>
          <a:effectLst>
            <a:outerShdw blurRad="317500" algn="ctr" rotWithShape="0">
              <a:prstClr val="black">
                <a:alpha val="25000"/>
              </a:prstClr>
            </a:outerShdw>
          </a:effectLst>
        </c:spPr>
      </c:pivotFmt>
      <c:pivotFmt>
        <c:idx val="63"/>
        <c:spPr>
          <a:solidFill>
            <a:schemeClr val="accent1"/>
          </a:solidFill>
          <a:ln>
            <a:noFill/>
          </a:ln>
          <a:effectLst>
            <a:outerShdw blurRad="317500" algn="ctr" rotWithShape="0">
              <a:prstClr val="black">
                <a:alpha val="25000"/>
              </a:prstClr>
            </a:outerShdw>
          </a:effectLst>
        </c:spPr>
      </c:pivotFmt>
      <c:pivotFmt>
        <c:idx val="64"/>
        <c:spPr>
          <a:solidFill>
            <a:schemeClr val="accent1"/>
          </a:solidFill>
          <a:ln>
            <a:noFill/>
          </a:ln>
          <a:effectLst>
            <a:outerShdw blurRad="317500" algn="ctr" rotWithShape="0">
              <a:prstClr val="black">
                <a:alpha val="25000"/>
              </a:prstClr>
            </a:outerShdw>
          </a:effectLst>
        </c:spPr>
      </c:pivotFmt>
      <c:pivotFmt>
        <c:idx val="6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outerShdw blurRad="317500" algn="ctr" rotWithShape="0">
              <a:prstClr val="black">
                <a:alpha val="25000"/>
              </a:prstClr>
            </a:outerShdw>
          </a:effectLst>
        </c:spPr>
      </c:pivotFmt>
      <c:pivotFmt>
        <c:idx val="67"/>
        <c:spPr>
          <a:solidFill>
            <a:schemeClr val="accent1"/>
          </a:solidFill>
          <a:ln>
            <a:noFill/>
          </a:ln>
          <a:effectLst>
            <a:outerShdw blurRad="317500" algn="ctr" rotWithShape="0">
              <a:prstClr val="black">
                <a:alpha val="25000"/>
              </a:prstClr>
            </a:outerShdw>
          </a:effectLst>
        </c:spPr>
      </c:pivotFmt>
      <c:pivotFmt>
        <c:idx val="68"/>
        <c:spPr>
          <a:solidFill>
            <a:schemeClr val="accent1"/>
          </a:solidFill>
          <a:ln>
            <a:noFill/>
          </a:ln>
          <a:effectLst>
            <a:outerShdw blurRad="317500" algn="ctr" rotWithShape="0">
              <a:prstClr val="black">
                <a:alpha val="25000"/>
              </a:prstClr>
            </a:outerShdw>
          </a:effectLst>
        </c:spPr>
      </c:pivotFmt>
      <c:pivotFmt>
        <c:idx val="69"/>
        <c:spPr>
          <a:solidFill>
            <a:schemeClr val="accent1"/>
          </a:solidFill>
          <a:ln>
            <a:noFill/>
          </a:ln>
          <a:effectLst>
            <a:outerShdw blurRad="317500" algn="ctr" rotWithShape="0">
              <a:prstClr val="black">
                <a:alpha val="25000"/>
              </a:prstClr>
            </a:outerShdw>
          </a:effectLst>
        </c:spPr>
      </c:pivotFmt>
      <c:pivotFmt>
        <c:idx val="70"/>
        <c:spPr>
          <a:solidFill>
            <a:schemeClr val="accent1"/>
          </a:solidFill>
          <a:ln>
            <a:noFill/>
          </a:ln>
          <a:effectLst>
            <a:outerShdw blurRad="317500" algn="ctr" rotWithShape="0">
              <a:prstClr val="black">
                <a:alpha val="25000"/>
              </a:prstClr>
            </a:outerShdw>
          </a:effectLst>
        </c:spPr>
      </c:pivotFmt>
      <c:pivotFmt>
        <c:idx val="71"/>
        <c:spPr>
          <a:solidFill>
            <a:schemeClr val="accent1"/>
          </a:solidFill>
          <a:ln>
            <a:noFill/>
          </a:ln>
          <a:effectLst>
            <a:outerShdw blurRad="317500" algn="ctr" rotWithShape="0">
              <a:prstClr val="black">
                <a:alpha val="25000"/>
              </a:prstClr>
            </a:outerShdw>
          </a:effectLst>
        </c:spPr>
      </c:pivotFmt>
      <c:pivotFmt>
        <c:idx val="72"/>
        <c:spPr>
          <a:solidFill>
            <a:schemeClr val="accent1"/>
          </a:solidFill>
          <a:ln>
            <a:noFill/>
          </a:ln>
          <a:effectLst>
            <a:outerShdw blurRad="317500" algn="ctr" rotWithShape="0">
              <a:prstClr val="black">
                <a:alpha val="25000"/>
              </a:prstClr>
            </a:outerShdw>
          </a:effectLst>
        </c:spPr>
      </c:pivotFmt>
      <c:pivotFmt>
        <c:idx val="73"/>
        <c:spPr>
          <a:solidFill>
            <a:schemeClr val="accent1"/>
          </a:solidFill>
          <a:ln>
            <a:noFill/>
          </a:ln>
          <a:effectLst>
            <a:outerShdw blurRad="317500" algn="ctr" rotWithShape="0">
              <a:prstClr val="black">
                <a:alpha val="25000"/>
              </a:prstClr>
            </a:outerShdw>
          </a:effectLst>
        </c:spPr>
      </c:pivotFmt>
      <c:pivotFmt>
        <c:idx val="74"/>
        <c:spPr>
          <a:solidFill>
            <a:schemeClr val="accent1"/>
          </a:solidFill>
          <a:ln>
            <a:noFill/>
          </a:ln>
          <a:effectLst>
            <a:outerShdw blurRad="317500" algn="ctr" rotWithShape="0">
              <a:prstClr val="black">
                <a:alpha val="25000"/>
              </a:prstClr>
            </a:outerShdw>
          </a:effectLst>
        </c:spPr>
      </c:pivotFmt>
      <c:pivotFmt>
        <c:idx val="75"/>
        <c:spPr>
          <a:solidFill>
            <a:schemeClr val="accent1"/>
          </a:solidFill>
          <a:ln>
            <a:noFill/>
          </a:ln>
          <a:effectLst>
            <a:outerShdw blurRad="317500" algn="ctr" rotWithShape="0">
              <a:prstClr val="black">
                <a:alpha val="25000"/>
              </a:prstClr>
            </a:outerShdw>
          </a:effectLst>
        </c:spPr>
      </c:pivotFmt>
      <c:pivotFmt>
        <c:idx val="76"/>
        <c:spPr>
          <a:solidFill>
            <a:schemeClr val="accent1"/>
          </a:solidFill>
          <a:ln>
            <a:noFill/>
          </a:ln>
          <a:effectLst>
            <a:outerShdw blurRad="317500" algn="ctr" rotWithShape="0">
              <a:prstClr val="black">
                <a:alpha val="25000"/>
              </a:prstClr>
            </a:outerShdw>
          </a:effectLst>
        </c:spPr>
      </c:pivotFmt>
      <c:pivotFmt>
        <c:idx val="77"/>
        <c:spPr>
          <a:solidFill>
            <a:schemeClr val="accent1"/>
          </a:solidFill>
          <a:ln>
            <a:noFill/>
          </a:ln>
          <a:effectLst>
            <a:outerShdw blurRad="317500" algn="ctr" rotWithShape="0">
              <a:prstClr val="black">
                <a:alpha val="25000"/>
              </a:prstClr>
            </a:outerShdw>
          </a:effectLst>
        </c:spPr>
      </c:pivotFmt>
      <c:pivotFmt>
        <c:idx val="78"/>
        <c:spPr>
          <a:solidFill>
            <a:schemeClr val="accent1"/>
          </a:solidFill>
          <a:ln>
            <a:noFill/>
          </a:ln>
          <a:effectLst>
            <a:outerShdw blurRad="317500" algn="ctr" rotWithShape="0">
              <a:prstClr val="black">
                <a:alpha val="25000"/>
              </a:prstClr>
            </a:outerShdw>
          </a:effectLst>
        </c:spPr>
      </c:pivotFmt>
      <c:pivotFmt>
        <c:idx val="79"/>
        <c:spPr>
          <a:solidFill>
            <a:schemeClr val="accent1"/>
          </a:solidFill>
          <a:ln>
            <a:noFill/>
          </a:ln>
          <a:effectLst>
            <a:outerShdw blurRad="317500" algn="ctr" rotWithShape="0">
              <a:prstClr val="black">
                <a:alpha val="25000"/>
              </a:prstClr>
            </a:outerShdw>
          </a:effectLst>
        </c:spPr>
      </c:pivotFmt>
      <c:pivotFmt>
        <c:idx val="80"/>
        <c:spPr>
          <a:solidFill>
            <a:schemeClr val="accent1"/>
          </a:solidFill>
          <a:ln>
            <a:noFill/>
          </a:ln>
          <a:effectLst>
            <a:outerShdw blurRad="317500" algn="ctr" rotWithShape="0">
              <a:prstClr val="black">
                <a:alpha val="25000"/>
              </a:prstClr>
            </a:outerShdw>
          </a:effectLst>
        </c:spPr>
      </c:pivotFmt>
      <c:pivotFmt>
        <c:idx val="81"/>
        <c:spPr>
          <a:solidFill>
            <a:schemeClr val="accent1"/>
          </a:solidFill>
          <a:ln>
            <a:noFill/>
          </a:ln>
          <a:effectLst>
            <a:outerShdw blurRad="317500" algn="ctr" rotWithShape="0">
              <a:prstClr val="black">
                <a:alpha val="25000"/>
              </a:prstClr>
            </a:outerShdw>
          </a:effectLst>
        </c:spPr>
      </c:pivotFmt>
      <c:pivotFmt>
        <c:idx val="82"/>
        <c:spPr>
          <a:solidFill>
            <a:schemeClr val="accent1"/>
          </a:solidFill>
          <a:ln>
            <a:noFill/>
          </a:ln>
          <a:effectLst>
            <a:outerShdw blurRad="317500" algn="ctr" rotWithShape="0">
              <a:prstClr val="black">
                <a:alpha val="25000"/>
              </a:prstClr>
            </a:outerShdw>
          </a:effectLst>
        </c:spPr>
      </c:pivotFmt>
      <c:pivotFmt>
        <c:idx val="83"/>
        <c:spPr>
          <a:solidFill>
            <a:schemeClr val="accent1"/>
          </a:solidFill>
          <a:ln>
            <a:noFill/>
          </a:ln>
          <a:effectLst>
            <a:outerShdw blurRad="317500" algn="ctr" rotWithShape="0">
              <a:prstClr val="black">
                <a:alpha val="25000"/>
              </a:prstClr>
            </a:outerShdw>
          </a:effectLst>
        </c:spPr>
      </c:pivotFmt>
      <c:pivotFmt>
        <c:idx val="84"/>
        <c:spPr>
          <a:solidFill>
            <a:schemeClr val="accent1"/>
          </a:solidFill>
          <a:ln>
            <a:noFill/>
          </a:ln>
          <a:effectLst>
            <a:outerShdw blurRad="317500" algn="ctr" rotWithShape="0">
              <a:prstClr val="black">
                <a:alpha val="25000"/>
              </a:prstClr>
            </a:outerShdw>
          </a:effectLst>
        </c:spPr>
      </c:pivotFmt>
      <c:pivotFmt>
        <c:idx val="8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v>Sum of GST</c:v>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967-4CE8-9EF3-951B0F77017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967-4CE8-9EF3-951B0F77017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967-4CE8-9EF3-951B0F77017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967-4CE8-9EF3-951B0F77017C}"/>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967-4CE8-9EF3-951B0F77017C}"/>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967-4CE8-9EF3-951B0F77017C}"/>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C967-4CE8-9EF3-951B0F77017C}"/>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C967-4CE8-9EF3-951B0F77017C}"/>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C967-4CE8-9EF3-951B0F77017C}"/>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C967-4CE8-9EF3-951B0F77017C}"/>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C967-4CE8-9EF3-951B0F77017C}"/>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C967-4CE8-9EF3-951B0F77017C}"/>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C967-4CE8-9EF3-951B0F77017C}"/>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C967-4CE8-9EF3-951B0F77017C}"/>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C967-4CE8-9EF3-951B0F77017C}"/>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C967-4CE8-9EF3-951B0F77017C}"/>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C967-4CE8-9EF3-951B0F77017C}"/>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C967-4CE8-9EF3-951B0F77017C}"/>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C967-4CE8-9EF3-951B0F77017C}"/>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C967-4CE8-9EF3-951B0F7701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20"/>
              <c:pt idx="0">
                <c:v>Air Conditioner</c:v>
              </c:pt>
              <c:pt idx="1">
                <c:v>Bed</c:v>
              </c:pt>
              <c:pt idx="2">
                <c:v>Book shelf</c:v>
              </c:pt>
              <c:pt idx="3">
                <c:v>Chair</c:v>
              </c:pt>
              <c:pt idx="4">
                <c:v>Cub board</c:v>
              </c:pt>
              <c:pt idx="5">
                <c:v>Dining table</c:v>
              </c:pt>
              <c:pt idx="6">
                <c:v>External Hard Disk</c:v>
              </c:pt>
              <c:pt idx="7">
                <c:v>Head phone</c:v>
              </c:pt>
              <c:pt idx="8">
                <c:v>Keyboard</c:v>
              </c:pt>
              <c:pt idx="9">
                <c:v>Laptop</c:v>
              </c:pt>
              <c:pt idx="10">
                <c:v>Moniter</c:v>
              </c:pt>
              <c:pt idx="11">
                <c:v>Mouse</c:v>
              </c:pt>
              <c:pt idx="12">
                <c:v>Office Chair</c:v>
              </c:pt>
              <c:pt idx="13">
                <c:v>Phone</c:v>
              </c:pt>
              <c:pt idx="14">
                <c:v>Printer</c:v>
              </c:pt>
              <c:pt idx="15">
                <c:v>Smart Watch</c:v>
              </c:pt>
              <c:pt idx="16">
                <c:v>Sofa</c:v>
              </c:pt>
              <c:pt idx="17">
                <c:v>Table</c:v>
              </c:pt>
              <c:pt idx="18">
                <c:v>Tablet</c:v>
              </c:pt>
              <c:pt idx="19">
                <c:v>TV Stand</c:v>
              </c:pt>
            </c:strLit>
          </c:cat>
          <c:val>
            <c:numLit>
              <c:formatCode>General</c:formatCode>
              <c:ptCount val="20"/>
              <c:pt idx="0">
                <c:v>113400</c:v>
              </c:pt>
              <c:pt idx="1">
                <c:v>54000</c:v>
              </c:pt>
              <c:pt idx="2">
                <c:v>7560</c:v>
              </c:pt>
              <c:pt idx="3">
                <c:v>2700</c:v>
              </c:pt>
              <c:pt idx="4">
                <c:v>47520</c:v>
              </c:pt>
              <c:pt idx="5">
                <c:v>25920</c:v>
              </c:pt>
              <c:pt idx="6">
                <c:v>8640</c:v>
              </c:pt>
              <c:pt idx="7">
                <c:v>3150</c:v>
              </c:pt>
              <c:pt idx="8">
                <c:v>1350</c:v>
              </c:pt>
              <c:pt idx="9">
                <c:v>99000</c:v>
              </c:pt>
              <c:pt idx="10">
                <c:v>32400</c:v>
              </c:pt>
              <c:pt idx="11">
                <c:v>432</c:v>
              </c:pt>
              <c:pt idx="12">
                <c:v>11700</c:v>
              </c:pt>
              <c:pt idx="13">
                <c:v>28800</c:v>
              </c:pt>
              <c:pt idx="14">
                <c:v>32400</c:v>
              </c:pt>
              <c:pt idx="15">
                <c:v>10800</c:v>
              </c:pt>
              <c:pt idx="16">
                <c:v>67500</c:v>
              </c:pt>
              <c:pt idx="17">
                <c:v>7560</c:v>
              </c:pt>
              <c:pt idx="18">
                <c:v>45360</c:v>
              </c:pt>
              <c:pt idx="19">
                <c:v>8100</c:v>
              </c:pt>
            </c:numLit>
          </c:val>
          <c:extLst>
            <c:ext xmlns:c16="http://schemas.microsoft.com/office/drawing/2014/chart" uri="{C3380CC4-5D6E-409C-BE32-E72D297353CC}">
              <c16:uniqueId val="{00000028-C967-4CE8-9EF3-951B0F77017C}"/>
            </c:ext>
          </c:extLst>
        </c:ser>
        <c:ser>
          <c:idx val="1"/>
          <c:order val="1"/>
          <c:tx>
            <c:v>Series2</c:v>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A-C967-4CE8-9EF3-951B0F77017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C-C967-4CE8-9EF3-951B0F77017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E-C967-4CE8-9EF3-951B0F77017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0-C967-4CE8-9EF3-951B0F77017C}"/>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2-C967-4CE8-9EF3-951B0F77017C}"/>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4-C967-4CE8-9EF3-951B0F77017C}"/>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6-C967-4CE8-9EF3-951B0F77017C}"/>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8-C967-4CE8-9EF3-951B0F77017C}"/>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A-C967-4CE8-9EF3-951B0F77017C}"/>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C-C967-4CE8-9EF3-951B0F77017C}"/>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E-C967-4CE8-9EF3-951B0F77017C}"/>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0-C967-4CE8-9EF3-951B0F77017C}"/>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2-C967-4CE8-9EF3-951B0F77017C}"/>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4-C967-4CE8-9EF3-951B0F77017C}"/>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6-C967-4CE8-9EF3-951B0F77017C}"/>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8-C967-4CE8-9EF3-951B0F77017C}"/>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A-C967-4CE8-9EF3-951B0F77017C}"/>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C-C967-4CE8-9EF3-951B0F77017C}"/>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E-C967-4CE8-9EF3-951B0F77017C}"/>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0-C967-4CE8-9EF3-951B0F7701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20"/>
              <c:pt idx="0">
                <c:v>Air Conditioner</c:v>
              </c:pt>
              <c:pt idx="1">
                <c:v>Bed</c:v>
              </c:pt>
              <c:pt idx="2">
                <c:v>Book shelf</c:v>
              </c:pt>
              <c:pt idx="3">
                <c:v>Chair</c:v>
              </c:pt>
              <c:pt idx="4">
                <c:v>Cub board</c:v>
              </c:pt>
              <c:pt idx="5">
                <c:v>Dining table</c:v>
              </c:pt>
              <c:pt idx="6">
                <c:v>External Hard Disk</c:v>
              </c:pt>
              <c:pt idx="7">
                <c:v>Head phone</c:v>
              </c:pt>
              <c:pt idx="8">
                <c:v>Keyboard</c:v>
              </c:pt>
              <c:pt idx="9">
                <c:v>Laptop</c:v>
              </c:pt>
              <c:pt idx="10">
                <c:v>Moniter</c:v>
              </c:pt>
              <c:pt idx="11">
                <c:v>Mouse</c:v>
              </c:pt>
              <c:pt idx="12">
                <c:v>Office Chair</c:v>
              </c:pt>
              <c:pt idx="13">
                <c:v>Phone</c:v>
              </c:pt>
              <c:pt idx="14">
                <c:v>Printer</c:v>
              </c:pt>
              <c:pt idx="15">
                <c:v>Smart Watch</c:v>
              </c:pt>
              <c:pt idx="16">
                <c:v>Sofa</c:v>
              </c:pt>
              <c:pt idx="17">
                <c:v>Table</c:v>
              </c:pt>
              <c:pt idx="18">
                <c:v>Tablet</c:v>
              </c:pt>
              <c:pt idx="19">
                <c:v>TV Stand</c:v>
              </c:pt>
            </c:strLit>
          </c:cat>
          <c:val>
            <c:numLit>
              <c:formatCode>General</c:formatCode>
              <c:ptCount val="20"/>
              <c:pt idx="0">
                <c:v>630000</c:v>
              </c:pt>
              <c:pt idx="1">
                <c:v>300000</c:v>
              </c:pt>
              <c:pt idx="2">
                <c:v>42000</c:v>
              </c:pt>
              <c:pt idx="3">
                <c:v>15000</c:v>
              </c:pt>
              <c:pt idx="4">
                <c:v>264000</c:v>
              </c:pt>
              <c:pt idx="5">
                <c:v>144000</c:v>
              </c:pt>
              <c:pt idx="6">
                <c:v>48000</c:v>
              </c:pt>
              <c:pt idx="7">
                <c:v>17500</c:v>
              </c:pt>
              <c:pt idx="8">
                <c:v>7500</c:v>
              </c:pt>
              <c:pt idx="9">
                <c:v>550000</c:v>
              </c:pt>
              <c:pt idx="10">
                <c:v>180000</c:v>
              </c:pt>
              <c:pt idx="11">
                <c:v>2400</c:v>
              </c:pt>
              <c:pt idx="12">
                <c:v>65000</c:v>
              </c:pt>
              <c:pt idx="13">
                <c:v>160000</c:v>
              </c:pt>
              <c:pt idx="14">
                <c:v>180000</c:v>
              </c:pt>
              <c:pt idx="15">
                <c:v>60000</c:v>
              </c:pt>
              <c:pt idx="16">
                <c:v>375000</c:v>
              </c:pt>
              <c:pt idx="17">
                <c:v>42000</c:v>
              </c:pt>
              <c:pt idx="18">
                <c:v>252000</c:v>
              </c:pt>
              <c:pt idx="19">
                <c:v>45000</c:v>
              </c:pt>
            </c:numLit>
          </c:val>
          <c:extLst>
            <c:ext xmlns:c16="http://schemas.microsoft.com/office/drawing/2014/chart" uri="{C3380CC4-5D6E-409C-BE32-E72D297353CC}">
              <c16:uniqueId val="{00000051-C967-4CE8-9EF3-951B0F77017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pivotFmt>
    </c:pivotFmts>
    <c:plotArea>
      <c:layout/>
      <c:barChart>
        <c:barDir val="col"/>
        <c:grouping val="stacked"/>
        <c:varyColors val="0"/>
        <c:ser>
          <c:idx val="0"/>
          <c:order val="0"/>
          <c:tx>
            <c:v>Sum of Qty</c:v>
          </c:tx>
          <c:spPr>
            <a:solidFill>
              <a:schemeClr val="accent1">
                <a:alpha val="85000"/>
              </a:schemeClr>
            </a:solidFill>
            <a:ln w="9525" cap="flat" cmpd="sng" algn="ctr">
              <a:solidFill>
                <a:schemeClr val="lt1">
                  <a:alpha val="50000"/>
                </a:schemeClr>
              </a:solidFill>
              <a:round/>
            </a:ln>
            <a:effectLst/>
          </c:spPr>
          <c:invertIfNegative val="0"/>
          <c:cat>
            <c:strLit>
              <c:ptCount val="20"/>
              <c:pt idx="0">
                <c:v>Air Conditioner</c:v>
              </c:pt>
              <c:pt idx="1">
                <c:v>Bed</c:v>
              </c:pt>
              <c:pt idx="2">
                <c:v>Book shelf</c:v>
              </c:pt>
              <c:pt idx="3">
                <c:v>Chair</c:v>
              </c:pt>
              <c:pt idx="4">
                <c:v>Cub board</c:v>
              </c:pt>
              <c:pt idx="5">
                <c:v>Dining table</c:v>
              </c:pt>
              <c:pt idx="6">
                <c:v>External Hard Disk</c:v>
              </c:pt>
              <c:pt idx="7">
                <c:v>Head phone</c:v>
              </c:pt>
              <c:pt idx="8">
                <c:v>Keyboard</c:v>
              </c:pt>
              <c:pt idx="9">
                <c:v>Laptop</c:v>
              </c:pt>
              <c:pt idx="10">
                <c:v>Moniter</c:v>
              </c:pt>
              <c:pt idx="11">
                <c:v>Mouse</c:v>
              </c:pt>
              <c:pt idx="12">
                <c:v>Office Chair</c:v>
              </c:pt>
              <c:pt idx="13">
                <c:v>Phone</c:v>
              </c:pt>
              <c:pt idx="14">
                <c:v>Printer</c:v>
              </c:pt>
              <c:pt idx="15">
                <c:v>Smart Watch</c:v>
              </c:pt>
              <c:pt idx="16">
                <c:v>Sofa</c:v>
              </c:pt>
              <c:pt idx="17">
                <c:v>Table</c:v>
              </c:pt>
              <c:pt idx="18">
                <c:v>Tablet</c:v>
              </c:pt>
              <c:pt idx="19">
                <c:v>TV Stand</c:v>
              </c:pt>
            </c:strLit>
          </c:cat>
          <c:val>
            <c:numLit>
              <c:formatCode>General</c:formatCode>
              <c:ptCount val="20"/>
              <c:pt idx="0">
                <c:v>1</c:v>
              </c:pt>
              <c:pt idx="1">
                <c:v>2</c:v>
              </c:pt>
              <c:pt idx="2">
                <c:v>3</c:v>
              </c:pt>
              <c:pt idx="3">
                <c:v>5</c:v>
              </c:pt>
              <c:pt idx="4">
                <c:v>2</c:v>
              </c:pt>
              <c:pt idx="5">
                <c:v>2</c:v>
              </c:pt>
              <c:pt idx="6">
                <c:v>3</c:v>
              </c:pt>
              <c:pt idx="7">
                <c:v>5</c:v>
              </c:pt>
              <c:pt idx="8">
                <c:v>6</c:v>
              </c:pt>
              <c:pt idx="9">
                <c:v>2</c:v>
              </c:pt>
              <c:pt idx="10">
                <c:v>3</c:v>
              </c:pt>
              <c:pt idx="11">
                <c:v>10</c:v>
              </c:pt>
              <c:pt idx="12">
                <c:v>4</c:v>
              </c:pt>
              <c:pt idx="13">
                <c:v>3</c:v>
              </c:pt>
              <c:pt idx="14">
                <c:v>4</c:v>
              </c:pt>
              <c:pt idx="15">
                <c:v>4</c:v>
              </c:pt>
              <c:pt idx="16">
                <c:v>1</c:v>
              </c:pt>
              <c:pt idx="17">
                <c:v>2</c:v>
              </c:pt>
              <c:pt idx="18">
                <c:v>2</c:v>
              </c:pt>
              <c:pt idx="19">
                <c:v>2</c:v>
              </c:pt>
            </c:numLit>
          </c:val>
          <c:extLst>
            <c:ext xmlns:c16="http://schemas.microsoft.com/office/drawing/2014/chart" uri="{C3380CC4-5D6E-409C-BE32-E72D297353CC}">
              <c16:uniqueId val="{00000000-157C-4CB7-9E56-B6B20E7C624B}"/>
            </c:ext>
          </c:extLst>
        </c:ser>
        <c:ser>
          <c:idx val="1"/>
          <c:order val="1"/>
          <c:tx>
            <c:v>Sum of Final Amount</c:v>
          </c:tx>
          <c:spPr>
            <a:solidFill>
              <a:schemeClr val="accent2">
                <a:alpha val="85000"/>
              </a:schemeClr>
            </a:solidFill>
            <a:ln w="9525" cap="flat" cmpd="sng" algn="ctr">
              <a:solidFill>
                <a:schemeClr val="lt1">
                  <a:alpha val="50000"/>
                </a:schemeClr>
              </a:solidFill>
              <a:round/>
            </a:ln>
            <a:effectLst/>
          </c:spPr>
          <c:invertIfNegative val="0"/>
          <c:cat>
            <c:strLit>
              <c:ptCount val="20"/>
              <c:pt idx="0">
                <c:v>Air Conditioner</c:v>
              </c:pt>
              <c:pt idx="1">
                <c:v>Bed</c:v>
              </c:pt>
              <c:pt idx="2">
                <c:v>Book shelf</c:v>
              </c:pt>
              <c:pt idx="3">
                <c:v>Chair</c:v>
              </c:pt>
              <c:pt idx="4">
                <c:v>Cub board</c:v>
              </c:pt>
              <c:pt idx="5">
                <c:v>Dining table</c:v>
              </c:pt>
              <c:pt idx="6">
                <c:v>External Hard Disk</c:v>
              </c:pt>
              <c:pt idx="7">
                <c:v>Head phone</c:v>
              </c:pt>
              <c:pt idx="8">
                <c:v>Keyboard</c:v>
              </c:pt>
              <c:pt idx="9">
                <c:v>Laptop</c:v>
              </c:pt>
              <c:pt idx="10">
                <c:v>Moniter</c:v>
              </c:pt>
              <c:pt idx="11">
                <c:v>Mouse</c:v>
              </c:pt>
              <c:pt idx="12">
                <c:v>Office Chair</c:v>
              </c:pt>
              <c:pt idx="13">
                <c:v>Phone</c:v>
              </c:pt>
              <c:pt idx="14">
                <c:v>Printer</c:v>
              </c:pt>
              <c:pt idx="15">
                <c:v>Smart Watch</c:v>
              </c:pt>
              <c:pt idx="16">
                <c:v>Sofa</c:v>
              </c:pt>
              <c:pt idx="17">
                <c:v>Table</c:v>
              </c:pt>
              <c:pt idx="18">
                <c:v>Tablet</c:v>
              </c:pt>
              <c:pt idx="19">
                <c:v>TV Stand</c:v>
              </c:pt>
            </c:strLit>
          </c:cat>
          <c:val>
            <c:numLit>
              <c:formatCode>General</c:formatCode>
              <c:ptCount val="20"/>
              <c:pt idx="0">
                <c:v>630000</c:v>
              </c:pt>
              <c:pt idx="1">
                <c:v>300000</c:v>
              </c:pt>
              <c:pt idx="2">
                <c:v>42000</c:v>
              </c:pt>
              <c:pt idx="3">
                <c:v>15000</c:v>
              </c:pt>
              <c:pt idx="4">
                <c:v>264000</c:v>
              </c:pt>
              <c:pt idx="5">
                <c:v>144000</c:v>
              </c:pt>
              <c:pt idx="6">
                <c:v>48000</c:v>
              </c:pt>
              <c:pt idx="7">
                <c:v>17500</c:v>
              </c:pt>
              <c:pt idx="8">
                <c:v>7500</c:v>
              </c:pt>
              <c:pt idx="9">
                <c:v>550000</c:v>
              </c:pt>
              <c:pt idx="10">
                <c:v>180000</c:v>
              </c:pt>
              <c:pt idx="11">
                <c:v>2400</c:v>
              </c:pt>
              <c:pt idx="12">
                <c:v>65000</c:v>
              </c:pt>
              <c:pt idx="13">
                <c:v>160000</c:v>
              </c:pt>
              <c:pt idx="14">
                <c:v>180000</c:v>
              </c:pt>
              <c:pt idx="15">
                <c:v>60000</c:v>
              </c:pt>
              <c:pt idx="16">
                <c:v>375000</c:v>
              </c:pt>
              <c:pt idx="17">
                <c:v>42000</c:v>
              </c:pt>
              <c:pt idx="18">
                <c:v>252000</c:v>
              </c:pt>
              <c:pt idx="19">
                <c:v>45000</c:v>
              </c:pt>
            </c:numLit>
          </c:val>
          <c:extLst>
            <c:ext xmlns:c16="http://schemas.microsoft.com/office/drawing/2014/chart" uri="{C3380CC4-5D6E-409C-BE32-E72D297353CC}">
              <c16:uniqueId val="{00000001-157C-4CB7-9E56-B6B20E7C624B}"/>
            </c:ext>
          </c:extLst>
        </c:ser>
        <c:ser>
          <c:idx val="2"/>
          <c:order val="2"/>
          <c:tx>
            <c:v>Sum of O.ID</c:v>
          </c:tx>
          <c:spPr>
            <a:solidFill>
              <a:schemeClr val="accent3">
                <a:alpha val="85000"/>
              </a:schemeClr>
            </a:solidFill>
            <a:ln w="9525" cap="flat" cmpd="sng" algn="ctr">
              <a:solidFill>
                <a:schemeClr val="lt1">
                  <a:alpha val="50000"/>
                </a:schemeClr>
              </a:solidFill>
              <a:round/>
            </a:ln>
            <a:effectLst/>
          </c:spPr>
          <c:invertIfNegative val="0"/>
          <c:cat>
            <c:strLit>
              <c:ptCount val="20"/>
              <c:pt idx="0">
                <c:v>Air Conditioner</c:v>
              </c:pt>
              <c:pt idx="1">
                <c:v>Bed</c:v>
              </c:pt>
              <c:pt idx="2">
                <c:v>Book shelf</c:v>
              </c:pt>
              <c:pt idx="3">
                <c:v>Chair</c:v>
              </c:pt>
              <c:pt idx="4">
                <c:v>Cub board</c:v>
              </c:pt>
              <c:pt idx="5">
                <c:v>Dining table</c:v>
              </c:pt>
              <c:pt idx="6">
                <c:v>External Hard Disk</c:v>
              </c:pt>
              <c:pt idx="7">
                <c:v>Head phone</c:v>
              </c:pt>
              <c:pt idx="8">
                <c:v>Keyboard</c:v>
              </c:pt>
              <c:pt idx="9">
                <c:v>Laptop</c:v>
              </c:pt>
              <c:pt idx="10">
                <c:v>Moniter</c:v>
              </c:pt>
              <c:pt idx="11">
                <c:v>Mouse</c:v>
              </c:pt>
              <c:pt idx="12">
                <c:v>Office Chair</c:v>
              </c:pt>
              <c:pt idx="13">
                <c:v>Phone</c:v>
              </c:pt>
              <c:pt idx="14">
                <c:v>Printer</c:v>
              </c:pt>
              <c:pt idx="15">
                <c:v>Smart Watch</c:v>
              </c:pt>
              <c:pt idx="16">
                <c:v>Sofa</c:v>
              </c:pt>
              <c:pt idx="17">
                <c:v>Table</c:v>
              </c:pt>
              <c:pt idx="18">
                <c:v>Tablet</c:v>
              </c:pt>
              <c:pt idx="19">
                <c:v>TV Stand</c:v>
              </c:pt>
            </c:strLit>
          </c:cat>
          <c:val>
            <c:numLit>
              <c:formatCode>General</c:formatCode>
              <c:ptCount val="20"/>
              <c:pt idx="0">
                <c:v>1020</c:v>
              </c:pt>
              <c:pt idx="1">
                <c:v>1011</c:v>
              </c:pt>
              <c:pt idx="2">
                <c:v>1015</c:v>
              </c:pt>
              <c:pt idx="3">
                <c:v>1002</c:v>
              </c:pt>
              <c:pt idx="4">
                <c:v>1013</c:v>
              </c:pt>
              <c:pt idx="5">
                <c:v>1009</c:v>
              </c:pt>
              <c:pt idx="6">
                <c:v>1018</c:v>
              </c:pt>
              <c:pt idx="7">
                <c:v>1012</c:v>
              </c:pt>
              <c:pt idx="8">
                <c:v>1008</c:v>
              </c:pt>
              <c:pt idx="9">
                <c:v>1001</c:v>
              </c:pt>
              <c:pt idx="10">
                <c:v>1006</c:v>
              </c:pt>
              <c:pt idx="11">
                <c:v>1010</c:v>
              </c:pt>
              <c:pt idx="12">
                <c:v>1017</c:v>
              </c:pt>
              <c:pt idx="13">
                <c:v>1003</c:v>
              </c:pt>
              <c:pt idx="14">
                <c:v>1005</c:v>
              </c:pt>
              <c:pt idx="15">
                <c:v>1014</c:v>
              </c:pt>
              <c:pt idx="16">
                <c:v>1007</c:v>
              </c:pt>
              <c:pt idx="17">
                <c:v>1004</c:v>
              </c:pt>
              <c:pt idx="18">
                <c:v>1016</c:v>
              </c:pt>
              <c:pt idx="19">
                <c:v>1019</c:v>
              </c:pt>
            </c:numLit>
          </c:val>
          <c:extLst>
            <c:ext xmlns:c16="http://schemas.microsoft.com/office/drawing/2014/chart" uri="{C3380CC4-5D6E-409C-BE32-E72D297353CC}">
              <c16:uniqueId val="{00000002-157C-4CB7-9E56-B6B20E7C624B}"/>
            </c:ext>
          </c:extLst>
        </c:ser>
        <c:ser>
          <c:idx val="3"/>
          <c:order val="3"/>
          <c:tx>
            <c:v>Sum of Unite price</c:v>
          </c:tx>
          <c:spPr>
            <a:solidFill>
              <a:schemeClr val="accent4">
                <a:alpha val="85000"/>
              </a:schemeClr>
            </a:solidFill>
            <a:ln w="9525" cap="flat" cmpd="sng" algn="ctr">
              <a:solidFill>
                <a:schemeClr val="lt1">
                  <a:alpha val="50000"/>
                </a:schemeClr>
              </a:solidFill>
              <a:round/>
            </a:ln>
            <a:effectLst/>
          </c:spPr>
          <c:invertIfNegative val="0"/>
          <c:cat>
            <c:strLit>
              <c:ptCount val="20"/>
              <c:pt idx="0">
                <c:v>Air Conditioner</c:v>
              </c:pt>
              <c:pt idx="1">
                <c:v>Bed</c:v>
              </c:pt>
              <c:pt idx="2">
                <c:v>Book shelf</c:v>
              </c:pt>
              <c:pt idx="3">
                <c:v>Chair</c:v>
              </c:pt>
              <c:pt idx="4">
                <c:v>Cub board</c:v>
              </c:pt>
              <c:pt idx="5">
                <c:v>Dining table</c:v>
              </c:pt>
              <c:pt idx="6">
                <c:v>External Hard Disk</c:v>
              </c:pt>
              <c:pt idx="7">
                <c:v>Head phone</c:v>
              </c:pt>
              <c:pt idx="8">
                <c:v>Keyboard</c:v>
              </c:pt>
              <c:pt idx="9">
                <c:v>Laptop</c:v>
              </c:pt>
              <c:pt idx="10">
                <c:v>Moniter</c:v>
              </c:pt>
              <c:pt idx="11">
                <c:v>Mouse</c:v>
              </c:pt>
              <c:pt idx="12">
                <c:v>Office Chair</c:v>
              </c:pt>
              <c:pt idx="13">
                <c:v>Phone</c:v>
              </c:pt>
              <c:pt idx="14">
                <c:v>Printer</c:v>
              </c:pt>
              <c:pt idx="15">
                <c:v>Smart Watch</c:v>
              </c:pt>
              <c:pt idx="16">
                <c:v>Sofa</c:v>
              </c:pt>
              <c:pt idx="17">
                <c:v>Table</c:v>
              </c:pt>
              <c:pt idx="18">
                <c:v>Tablet</c:v>
              </c:pt>
              <c:pt idx="19">
                <c:v>TV Stand</c:v>
              </c:pt>
            </c:strLit>
          </c:cat>
          <c:val>
            <c:numLit>
              <c:formatCode>General</c:formatCode>
              <c:ptCount val="20"/>
              <c:pt idx="0">
                <c:v>42000</c:v>
              </c:pt>
              <c:pt idx="1">
                <c:v>30000</c:v>
              </c:pt>
              <c:pt idx="2">
                <c:v>7000</c:v>
              </c:pt>
              <c:pt idx="3">
                <c:v>3000</c:v>
              </c:pt>
              <c:pt idx="4">
                <c:v>22000</c:v>
              </c:pt>
              <c:pt idx="5">
                <c:v>18000</c:v>
              </c:pt>
              <c:pt idx="6">
                <c:v>6000</c:v>
              </c:pt>
              <c:pt idx="7">
                <c:v>2500</c:v>
              </c:pt>
              <c:pt idx="8">
                <c:v>1500</c:v>
              </c:pt>
              <c:pt idx="9">
                <c:v>55000</c:v>
              </c:pt>
              <c:pt idx="10">
                <c:v>18000</c:v>
              </c:pt>
              <c:pt idx="11">
                <c:v>800</c:v>
              </c:pt>
              <c:pt idx="12">
                <c:v>6500</c:v>
              </c:pt>
              <c:pt idx="13">
                <c:v>20000</c:v>
              </c:pt>
              <c:pt idx="14">
                <c:v>15000</c:v>
              </c:pt>
              <c:pt idx="15">
                <c:v>12000</c:v>
              </c:pt>
              <c:pt idx="16">
                <c:v>25000</c:v>
              </c:pt>
              <c:pt idx="17">
                <c:v>7000</c:v>
              </c:pt>
              <c:pt idx="18">
                <c:v>28000</c:v>
              </c:pt>
              <c:pt idx="19">
                <c:v>9000</c:v>
              </c:pt>
            </c:numLit>
          </c:val>
          <c:extLst>
            <c:ext xmlns:c16="http://schemas.microsoft.com/office/drawing/2014/chart" uri="{C3380CC4-5D6E-409C-BE32-E72D297353CC}">
              <c16:uniqueId val="{00000007-157C-4CB7-9E56-B6B20E7C624B}"/>
            </c:ext>
          </c:extLst>
        </c:ser>
        <c:dLbls>
          <c:showLegendKey val="0"/>
          <c:showVal val="0"/>
          <c:showCatName val="0"/>
          <c:showSerName val="0"/>
          <c:showPercent val="0"/>
          <c:showBubbleSize val="0"/>
        </c:dLbls>
        <c:gapWidth val="150"/>
        <c:overlap val="100"/>
        <c:axId val="887673439"/>
        <c:axId val="887680159"/>
      </c:barChart>
      <c:catAx>
        <c:axId val="8876734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7680159"/>
        <c:crosses val="autoZero"/>
        <c:auto val="1"/>
        <c:lblAlgn val="ctr"/>
        <c:lblOffset val="100"/>
        <c:noMultiLvlLbl val="0"/>
      </c:catAx>
      <c:valAx>
        <c:axId val="8876801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876734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a:t>Sales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56055403301125"/>
          <c:y val="0.28967605766680316"/>
          <c:w val="0.52500483605976234"/>
          <c:h val="0.5925300082439009"/>
        </c:manualLayout>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996-401C-AF65-10418AA000F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996-401C-AF65-10418AA000F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996-401C-AF65-10418AA000F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996-401C-AF65-10418AA000F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996-401C-AF65-10418AA000FF}"/>
              </c:ext>
            </c:extLst>
          </c:dPt>
          <c:cat>
            <c:strLit>
              <c:ptCount val="5"/>
              <c:pt idx="0">
                <c:v>Chennai</c:v>
              </c:pt>
              <c:pt idx="1">
                <c:v>Coimbatore</c:v>
              </c:pt>
              <c:pt idx="2">
                <c:v>Madurai</c:v>
              </c:pt>
              <c:pt idx="3">
                <c:v>Salem</c:v>
              </c:pt>
              <c:pt idx="4">
                <c:v>Trichy</c:v>
              </c:pt>
            </c:strLit>
          </c:cat>
          <c:val>
            <c:numLit>
              <c:formatCode>General</c:formatCode>
              <c:ptCount val="5"/>
              <c:pt idx="0">
                <c:v>1282000</c:v>
              </c:pt>
              <c:pt idx="1">
                <c:v>409000</c:v>
              </c:pt>
              <c:pt idx="2">
                <c:v>472500</c:v>
              </c:pt>
              <c:pt idx="3">
                <c:v>854400</c:v>
              </c:pt>
              <c:pt idx="4">
                <c:v>361500</c:v>
              </c:pt>
            </c:numLit>
          </c:val>
          <c:extLst>
            <c:ext xmlns:c16="http://schemas.microsoft.com/office/drawing/2014/chart" uri="{C3380CC4-5D6E-409C-BE32-E72D297353CC}">
              <c16:uniqueId val="{0000000A-F996-401C-AF65-10418AA000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1E-4717-BF47-0357E4F572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1E-4717-BF47-0357E4F57223}"/>
              </c:ext>
            </c:extLst>
          </c:dPt>
          <c:cat>
            <c:strLit>
              <c:ptCount val="2"/>
              <c:pt idx="0">
                <c:v>Electronics</c:v>
              </c:pt>
              <c:pt idx="1">
                <c:v>Furniture</c:v>
              </c:pt>
            </c:strLit>
          </c:cat>
          <c:val>
            <c:numLit>
              <c:formatCode>General</c:formatCode>
              <c:ptCount val="2"/>
              <c:pt idx="0">
                <c:v>2087400</c:v>
              </c:pt>
              <c:pt idx="1">
                <c:v>1292000</c:v>
              </c:pt>
            </c:numLit>
          </c:val>
          <c:extLst>
            <c:ext xmlns:c16="http://schemas.microsoft.com/office/drawing/2014/chart" uri="{C3380CC4-5D6E-409C-BE32-E72D297353CC}">
              <c16:uniqueId val="{00000004-FB1E-4717-BF47-0357E4F5722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v>Sum of Final Amount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E5-4D22-987A-FFB63B3AB4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E5-4D22-987A-FFB63B3AB4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E5-4D22-987A-FFB63B3AB4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E5-4D22-987A-FFB63B3AB4F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FE5-4D22-987A-FFB63B3AB4F8}"/>
              </c:ext>
            </c:extLst>
          </c:dPt>
          <c:cat>
            <c:strLit>
              <c:ptCount val="5"/>
              <c:pt idx="0">
                <c:v>Bed</c:v>
              </c:pt>
              <c:pt idx="1">
                <c:v>Laptop</c:v>
              </c:pt>
              <c:pt idx="2">
                <c:v>Phone</c:v>
              </c:pt>
              <c:pt idx="3">
                <c:v>Printer</c:v>
              </c:pt>
              <c:pt idx="4">
                <c:v>Tablet</c:v>
              </c:pt>
            </c:strLit>
          </c:cat>
          <c:val>
            <c:numLit>
              <c:formatCode>General</c:formatCode>
              <c:ptCount val="5"/>
              <c:pt idx="0">
                <c:v>300000</c:v>
              </c:pt>
              <c:pt idx="1">
                <c:v>550000</c:v>
              </c:pt>
              <c:pt idx="2">
                <c:v>160000</c:v>
              </c:pt>
              <c:pt idx="3">
                <c:v>180000</c:v>
              </c:pt>
              <c:pt idx="4">
                <c:v>252000</c:v>
              </c:pt>
            </c:numLit>
          </c:val>
          <c:extLst>
            <c:ext xmlns:c16="http://schemas.microsoft.com/office/drawing/2014/chart" uri="{C3380CC4-5D6E-409C-BE32-E72D297353CC}">
              <c16:uniqueId val="{0000000A-EFE5-4D22-987A-FFB63B3AB4F8}"/>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EFE5-4D22-987A-FFB63B3AB4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EFE5-4D22-987A-FFB63B3AB4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EFE5-4D22-987A-FFB63B3AB4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EFE5-4D22-987A-FFB63B3AB4F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EFE5-4D22-987A-FFB63B3AB4F8}"/>
              </c:ext>
            </c:extLst>
          </c:dPt>
          <c:cat>
            <c:strLit>
              <c:ptCount val="5"/>
              <c:pt idx="0">
                <c:v>Bed</c:v>
              </c:pt>
              <c:pt idx="1">
                <c:v>Laptop</c:v>
              </c:pt>
              <c:pt idx="2">
                <c:v>Phone</c:v>
              </c:pt>
              <c:pt idx="3">
                <c:v>Printer</c:v>
              </c:pt>
              <c:pt idx="4">
                <c:v>Tablet</c:v>
              </c:pt>
            </c:strLit>
          </c:cat>
          <c:val>
            <c:numLit>
              <c:formatCode>General</c:formatCode>
              <c:ptCount val="5"/>
              <c:pt idx="0">
                <c:v>2</c:v>
              </c:pt>
              <c:pt idx="1">
                <c:v>2</c:v>
              </c:pt>
              <c:pt idx="2">
                <c:v>3</c:v>
              </c:pt>
              <c:pt idx="3">
                <c:v>4</c:v>
              </c:pt>
              <c:pt idx="4">
                <c:v>2</c:v>
              </c:pt>
            </c:numLit>
          </c:val>
          <c:extLst>
            <c:ext xmlns:c16="http://schemas.microsoft.com/office/drawing/2014/chart" uri="{C3380CC4-5D6E-409C-BE32-E72D297353CC}">
              <c16:uniqueId val="{00000015-EFE5-4D22-987A-FFB63B3AB4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Times New Roman" panose="02020603050405020304" pitchFamily="18" charset="0"/>
                <a:ea typeface="+mj-ea"/>
                <a:cs typeface="Times New Roman" panose="02020603050405020304" pitchFamily="18" charset="0"/>
              </a:defRPr>
            </a:pPr>
            <a:r>
              <a:rPr lang="en-US"/>
              <a:t>Sales Trend</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Times New Roman" panose="02020603050405020304" pitchFamily="18" charset="0"/>
              <a:ea typeface="+mj-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0"/>
              <c:pt idx="0">
                <c:v>01-07-2026</c:v>
              </c:pt>
              <c:pt idx="1">
                <c:v>02-07-2026</c:v>
              </c:pt>
              <c:pt idx="2">
                <c:v>03-07-2026</c:v>
              </c:pt>
              <c:pt idx="3">
                <c:v>04-07-2026</c:v>
              </c:pt>
              <c:pt idx="4">
                <c:v>05-07-2026</c:v>
              </c:pt>
              <c:pt idx="5">
                <c:v>06-07-2026</c:v>
              </c:pt>
              <c:pt idx="6">
                <c:v>07-07-2026</c:v>
              </c:pt>
              <c:pt idx="7">
                <c:v>08-07-2026</c:v>
              </c:pt>
              <c:pt idx="8">
                <c:v>09-07-2026</c:v>
              </c:pt>
              <c:pt idx="9">
                <c:v>10-07-2026</c:v>
              </c:pt>
              <c:pt idx="10">
                <c:v>11-07-2026</c:v>
              </c:pt>
              <c:pt idx="11">
                <c:v>12-07-2026</c:v>
              </c:pt>
              <c:pt idx="12">
                <c:v>13-07-2026</c:v>
              </c:pt>
              <c:pt idx="13">
                <c:v>14-07-2026</c:v>
              </c:pt>
              <c:pt idx="14">
                <c:v>15-07-2026</c:v>
              </c:pt>
              <c:pt idx="15">
                <c:v>16-07-2026</c:v>
              </c:pt>
              <c:pt idx="16">
                <c:v>17-07-2026</c:v>
              </c:pt>
              <c:pt idx="17">
                <c:v>18-07-2026</c:v>
              </c:pt>
              <c:pt idx="18">
                <c:v>19-07-2026</c:v>
              </c:pt>
              <c:pt idx="19">
                <c:v>20-07-2026</c:v>
              </c:pt>
            </c:strLit>
          </c:cat>
          <c:val>
            <c:numLit>
              <c:formatCode>General</c:formatCode>
              <c:ptCount val="20"/>
              <c:pt idx="0">
                <c:v>550000</c:v>
              </c:pt>
              <c:pt idx="1">
                <c:v>15000</c:v>
              </c:pt>
              <c:pt idx="2">
                <c:v>160000</c:v>
              </c:pt>
              <c:pt idx="3">
                <c:v>42000</c:v>
              </c:pt>
              <c:pt idx="4">
                <c:v>180000</c:v>
              </c:pt>
              <c:pt idx="5">
                <c:v>180000</c:v>
              </c:pt>
              <c:pt idx="6">
                <c:v>375000</c:v>
              </c:pt>
              <c:pt idx="7">
                <c:v>7500</c:v>
              </c:pt>
              <c:pt idx="8">
                <c:v>144000</c:v>
              </c:pt>
              <c:pt idx="9">
                <c:v>2400</c:v>
              </c:pt>
              <c:pt idx="10">
                <c:v>300000</c:v>
              </c:pt>
              <c:pt idx="11">
                <c:v>17500</c:v>
              </c:pt>
              <c:pt idx="12">
                <c:v>264000</c:v>
              </c:pt>
              <c:pt idx="13">
                <c:v>60000</c:v>
              </c:pt>
              <c:pt idx="14">
                <c:v>42000</c:v>
              </c:pt>
              <c:pt idx="15">
                <c:v>252000</c:v>
              </c:pt>
              <c:pt idx="16">
                <c:v>65000</c:v>
              </c:pt>
              <c:pt idx="17">
                <c:v>48000</c:v>
              </c:pt>
              <c:pt idx="18">
                <c:v>45000</c:v>
              </c:pt>
              <c:pt idx="19">
                <c:v>630000</c:v>
              </c:pt>
            </c:numLit>
          </c:val>
          <c:extLst>
            <c:ext xmlns:c16="http://schemas.microsoft.com/office/drawing/2014/chart" uri="{C3380CC4-5D6E-409C-BE32-E72D297353CC}">
              <c16:uniqueId val="{00000000-9D96-427C-B0CB-5D97088F9391}"/>
            </c:ext>
          </c:extLst>
        </c:ser>
        <c:dLbls>
          <c:showLegendKey val="0"/>
          <c:showVal val="0"/>
          <c:showCatName val="0"/>
          <c:showSerName val="0"/>
          <c:showPercent val="0"/>
          <c:showBubbleSize val="0"/>
        </c:dLbls>
        <c:gapWidth val="199"/>
        <c:axId val="217370031"/>
        <c:axId val="217369071"/>
      </c:barChart>
      <c:catAx>
        <c:axId val="21737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17369071"/>
        <c:crosses val="autoZero"/>
        <c:auto val="1"/>
        <c:lblAlgn val="ctr"/>
        <c:lblOffset val="100"/>
        <c:noMultiLvlLbl val="0"/>
      </c:catAx>
      <c:valAx>
        <c:axId val="21736907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1737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Recomended City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Lit>
              <c:ptCount val="5"/>
              <c:pt idx="0">
                <c:v>Chennai</c:v>
              </c:pt>
              <c:pt idx="1">
                <c:v>Coimbatore</c:v>
              </c:pt>
              <c:pt idx="2">
                <c:v>Madurai</c:v>
              </c:pt>
              <c:pt idx="3">
                <c:v>Salem</c:v>
              </c:pt>
              <c:pt idx="4">
                <c:v>Trichy</c:v>
              </c:pt>
            </c:strLit>
          </c:cat>
          <c:val>
            <c:numLit>
              <c:formatCode>General</c:formatCode>
              <c:ptCount val="5"/>
              <c:pt idx="0">
                <c:v>1282000</c:v>
              </c:pt>
              <c:pt idx="1">
                <c:v>409000</c:v>
              </c:pt>
              <c:pt idx="2">
                <c:v>472500</c:v>
              </c:pt>
              <c:pt idx="3">
                <c:v>854400</c:v>
              </c:pt>
              <c:pt idx="4">
                <c:v>361500</c:v>
              </c:pt>
            </c:numLit>
          </c:val>
          <c:extLst>
            <c:ext xmlns:c16="http://schemas.microsoft.com/office/drawing/2014/chart" uri="{C3380CC4-5D6E-409C-BE32-E72D297353CC}">
              <c16:uniqueId val="{00000000-4794-43FE-8655-1C85C0172F69}"/>
            </c:ext>
          </c:extLst>
        </c:ser>
        <c:dLbls>
          <c:showLegendKey val="0"/>
          <c:showVal val="0"/>
          <c:showCatName val="0"/>
          <c:showSerName val="0"/>
          <c:showPercent val="0"/>
          <c:showBubbleSize val="0"/>
        </c:dLbls>
        <c:gapWidth val="164"/>
        <c:overlap val="-22"/>
        <c:axId val="1264628495"/>
        <c:axId val="1264629455"/>
      </c:barChart>
      <c:catAx>
        <c:axId val="126462849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629455"/>
        <c:crosses val="autoZero"/>
        <c:auto val="1"/>
        <c:lblAlgn val="ctr"/>
        <c:lblOffset val="100"/>
        <c:noMultiLvlLbl val="0"/>
      </c:catAx>
      <c:valAx>
        <c:axId val="1264629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62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Qty</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Kumar</c:v>
              </c:pt>
              <c:pt idx="1">
                <c:v>Priya</c:v>
              </c:pt>
              <c:pt idx="2">
                <c:v>Ravi</c:v>
              </c:pt>
            </c:strLit>
          </c:cat>
          <c:val>
            <c:numLit>
              <c:formatCode>General</c:formatCode>
              <c:ptCount val="3"/>
              <c:pt idx="0">
                <c:v>26</c:v>
              </c:pt>
              <c:pt idx="1">
                <c:v>22</c:v>
              </c:pt>
              <c:pt idx="2">
                <c:v>18</c:v>
              </c:pt>
            </c:numLit>
          </c:val>
          <c:extLst>
            <c:ext xmlns:c16="http://schemas.microsoft.com/office/drawing/2014/chart" uri="{C3380CC4-5D6E-409C-BE32-E72D297353CC}">
              <c16:uniqueId val="{00000000-9339-446F-B8E3-B2C6D4046764}"/>
            </c:ext>
          </c:extLst>
        </c:ser>
        <c:ser>
          <c:idx val="1"/>
          <c:order val="1"/>
          <c:tx>
            <c:v>Sum of Final Amount</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Kumar</c:v>
              </c:pt>
              <c:pt idx="1">
                <c:v>Priya</c:v>
              </c:pt>
              <c:pt idx="2">
                <c:v>Ravi</c:v>
              </c:pt>
            </c:strLit>
          </c:cat>
          <c:val>
            <c:numLit>
              <c:formatCode>General</c:formatCode>
              <c:ptCount val="3"/>
              <c:pt idx="0">
                <c:v>1257500</c:v>
              </c:pt>
              <c:pt idx="1">
                <c:v>1648400</c:v>
              </c:pt>
              <c:pt idx="2">
                <c:v>473500</c:v>
              </c:pt>
            </c:numLit>
          </c:val>
          <c:extLst>
            <c:ext xmlns:c16="http://schemas.microsoft.com/office/drawing/2014/chart" uri="{C3380CC4-5D6E-409C-BE32-E72D297353CC}">
              <c16:uniqueId val="{00000001-9339-446F-B8E3-B2C6D4046764}"/>
            </c:ext>
          </c:extLst>
        </c:ser>
        <c:dLbls>
          <c:dLblPos val="inEnd"/>
          <c:showLegendKey val="0"/>
          <c:showVal val="1"/>
          <c:showCatName val="0"/>
          <c:showSerName val="0"/>
          <c:showPercent val="0"/>
          <c:showBubbleSize val="0"/>
        </c:dLbls>
        <c:gapWidth val="199"/>
        <c:axId val="1407340591"/>
        <c:axId val="1407342991"/>
      </c:barChart>
      <c:catAx>
        <c:axId val="140734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07342991"/>
        <c:crosses val="autoZero"/>
        <c:auto val="1"/>
        <c:lblAlgn val="ctr"/>
        <c:lblOffset val="100"/>
        <c:noMultiLvlLbl val="0"/>
      </c:catAx>
      <c:valAx>
        <c:axId val="140734299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34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Customers</a:t>
            </a:r>
            <a:endParaRPr lang="en-IN"/>
          </a:p>
        </c:rich>
      </c:tx>
      <c:layout>
        <c:manualLayout>
          <c:xMode val="edge"/>
          <c:yMode val="edge"/>
          <c:x val="0.3709096675415573"/>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Arun</c:v>
              </c:pt>
              <c:pt idx="1">
                <c:v>Vijay</c:v>
              </c:pt>
              <c:pt idx="2">
                <c:v>Dinesh</c:v>
              </c:pt>
              <c:pt idx="3">
                <c:v>Karthik</c:v>
              </c:pt>
              <c:pt idx="4">
                <c:v>Nisha</c:v>
              </c:pt>
            </c:strLit>
          </c:cat>
          <c:val>
            <c:numLit>
              <c:formatCode>General</c:formatCode>
              <c:ptCount val="5"/>
              <c:pt idx="0">
                <c:v>99000</c:v>
              </c:pt>
              <c:pt idx="1">
                <c:v>55200</c:v>
              </c:pt>
              <c:pt idx="2">
                <c:v>54000</c:v>
              </c:pt>
              <c:pt idx="3">
                <c:v>52800</c:v>
              </c:pt>
              <c:pt idx="4">
                <c:v>50960</c:v>
              </c:pt>
            </c:numLit>
          </c:val>
          <c:extLst>
            <c:ext xmlns:c16="http://schemas.microsoft.com/office/drawing/2014/chart" uri="{C3380CC4-5D6E-409C-BE32-E72D297353CC}">
              <c16:uniqueId val="{00000000-EEED-498E-BDE2-5A5E65B50506}"/>
            </c:ext>
          </c:extLst>
        </c:ser>
        <c:dLbls>
          <c:showLegendKey val="0"/>
          <c:showVal val="0"/>
          <c:showCatName val="0"/>
          <c:showSerName val="0"/>
          <c:showPercent val="0"/>
          <c:showBubbleSize val="0"/>
        </c:dLbls>
        <c:gapWidth val="182"/>
        <c:axId val="1274963247"/>
        <c:axId val="1274969007"/>
      </c:barChart>
      <c:catAx>
        <c:axId val="1274963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969007"/>
        <c:crosses val="autoZero"/>
        <c:auto val="1"/>
        <c:lblAlgn val="ctr"/>
        <c:lblOffset val="100"/>
        <c:noMultiLvlLbl val="0"/>
      </c:catAx>
      <c:valAx>
        <c:axId val="127496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96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312594</xdr:colOff>
      <xdr:row>6</xdr:row>
      <xdr:rowOff>72159</xdr:rowOff>
    </xdr:from>
    <xdr:to>
      <xdr:col>6</xdr:col>
      <xdr:colOff>1108364</xdr:colOff>
      <xdr:row>21</xdr:row>
      <xdr:rowOff>46759</xdr:rowOff>
    </xdr:to>
    <xdr:graphicFrame macro="">
      <xdr:nvGraphicFramePr>
        <xdr:cNvPr id="2" name="Chart 1" descr="Chart type: Clustered Bar. 'Final Amount' by 'Category'&#10;&#10;Description automatically generated">
          <a:extLst>
            <a:ext uri="{FF2B5EF4-FFF2-40B4-BE49-F238E27FC236}">
              <a16:creationId xmlns:a16="http://schemas.microsoft.com/office/drawing/2014/main" id="{FB25063B-A17C-EBA1-FBC8-07674DBC9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277457</xdr:colOff>
      <xdr:row>23</xdr:row>
      <xdr:rowOff>155864</xdr:rowOff>
    </xdr:from>
    <xdr:to>
      <xdr:col>6</xdr:col>
      <xdr:colOff>1056409</xdr:colOff>
      <xdr:row>37</xdr:row>
      <xdr:rowOff>166991</xdr:rowOff>
    </xdr:to>
    <xdr:graphicFrame macro="">
      <xdr:nvGraphicFramePr>
        <xdr:cNvPr id="3" name="Chart 2">
          <a:extLst>
            <a:ext uri="{FF2B5EF4-FFF2-40B4-BE49-F238E27FC236}">
              <a16:creationId xmlns:a16="http://schemas.microsoft.com/office/drawing/2014/main" id="{5D95D6EF-85C4-4102-8436-253B299D2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328615</xdr:colOff>
      <xdr:row>42</xdr:row>
      <xdr:rowOff>86591</xdr:rowOff>
    </xdr:from>
    <xdr:to>
      <xdr:col>9</xdr:col>
      <xdr:colOff>86591</xdr:colOff>
      <xdr:row>64</xdr:row>
      <xdr:rowOff>123610</xdr:rowOff>
    </xdr:to>
    <xdr:graphicFrame macro="">
      <xdr:nvGraphicFramePr>
        <xdr:cNvPr id="4" name="Chart 3" descr="Chart type: Clustered Bar. 'Qty', 'Unite price', 'Discount', and 'Final Amount' by 'Products'&#10;&#10;Description automatically generated">
          <a:extLst>
            <a:ext uri="{FF2B5EF4-FFF2-40B4-BE49-F238E27FC236}">
              <a16:creationId xmlns:a16="http://schemas.microsoft.com/office/drawing/2014/main" id="{C9089A95-CCBC-421F-822E-57A00DA44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365413</xdr:colOff>
      <xdr:row>73</xdr:row>
      <xdr:rowOff>43296</xdr:rowOff>
    </xdr:from>
    <xdr:to>
      <xdr:col>8</xdr:col>
      <xdr:colOff>1017443</xdr:colOff>
      <xdr:row>90</xdr:row>
      <xdr:rowOff>186171</xdr:rowOff>
    </xdr:to>
    <xdr:graphicFrame macro="">
      <xdr:nvGraphicFramePr>
        <xdr:cNvPr id="6" name="Chart 5">
          <a:extLst>
            <a:ext uri="{FF2B5EF4-FFF2-40B4-BE49-F238E27FC236}">
              <a16:creationId xmlns:a16="http://schemas.microsoft.com/office/drawing/2014/main" id="{90D72E9C-4884-4139-9CBD-0EFBDDAB5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418921</xdr:colOff>
      <xdr:row>95</xdr:row>
      <xdr:rowOff>18677</xdr:rowOff>
    </xdr:from>
    <xdr:to>
      <xdr:col>13</xdr:col>
      <xdr:colOff>1402773</xdr:colOff>
      <xdr:row>117</xdr:row>
      <xdr:rowOff>169293</xdr:rowOff>
    </xdr:to>
    <xdr:graphicFrame macro="">
      <xdr:nvGraphicFramePr>
        <xdr:cNvPr id="8" name="Chart 7">
          <a:extLst>
            <a:ext uri="{FF2B5EF4-FFF2-40B4-BE49-F238E27FC236}">
              <a16:creationId xmlns:a16="http://schemas.microsoft.com/office/drawing/2014/main" id="{0B374FBB-4832-4ECB-97C6-0B2F0ABFA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23294</xdr:colOff>
      <xdr:row>123</xdr:row>
      <xdr:rowOff>6305</xdr:rowOff>
    </xdr:from>
    <xdr:to>
      <xdr:col>11</xdr:col>
      <xdr:colOff>1437409</xdr:colOff>
      <xdr:row>145</xdr:row>
      <xdr:rowOff>37109</xdr:rowOff>
    </xdr:to>
    <xdr:graphicFrame macro="">
      <xdr:nvGraphicFramePr>
        <xdr:cNvPr id="9" name="Chart 8">
          <a:extLst>
            <a:ext uri="{FF2B5EF4-FFF2-40B4-BE49-F238E27FC236}">
              <a16:creationId xmlns:a16="http://schemas.microsoft.com/office/drawing/2014/main" id="{64C6FC4E-DC1A-4FEB-B2DD-B6280AE54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270164</xdr:colOff>
      <xdr:row>152</xdr:row>
      <xdr:rowOff>12225</xdr:rowOff>
    </xdr:from>
    <xdr:to>
      <xdr:col>13</xdr:col>
      <xdr:colOff>450272</xdr:colOff>
      <xdr:row>174</xdr:row>
      <xdr:rowOff>34637</xdr:rowOff>
    </xdr:to>
    <xdr:graphicFrame macro="">
      <xdr:nvGraphicFramePr>
        <xdr:cNvPr id="5" name="Chart 4">
          <a:extLst>
            <a:ext uri="{FF2B5EF4-FFF2-40B4-BE49-F238E27FC236}">
              <a16:creationId xmlns:a16="http://schemas.microsoft.com/office/drawing/2014/main" id="{8DF01F57-872D-4EF8-80F9-C52CB2C77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382083</xdr:colOff>
      <xdr:row>189</xdr:row>
      <xdr:rowOff>40069</xdr:rowOff>
    </xdr:from>
    <xdr:to>
      <xdr:col>5</xdr:col>
      <xdr:colOff>1454727</xdr:colOff>
      <xdr:row>199</xdr:row>
      <xdr:rowOff>159596</xdr:rowOff>
    </xdr:to>
    <xdr:graphicFrame macro="">
      <xdr:nvGraphicFramePr>
        <xdr:cNvPr id="7" name="Chart 6">
          <a:extLst>
            <a:ext uri="{FF2B5EF4-FFF2-40B4-BE49-F238E27FC236}">
              <a16:creationId xmlns:a16="http://schemas.microsoft.com/office/drawing/2014/main" id="{131B59A8-4B83-4268-9B18-996DD798B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53312</xdr:colOff>
      <xdr:row>185</xdr:row>
      <xdr:rowOff>121226</xdr:rowOff>
    </xdr:from>
    <xdr:to>
      <xdr:col>10</xdr:col>
      <xdr:colOff>34636</xdr:colOff>
      <xdr:row>196</xdr:row>
      <xdr:rowOff>51955</xdr:rowOff>
    </xdr:to>
    <xdr:graphicFrame macro="">
      <xdr:nvGraphicFramePr>
        <xdr:cNvPr id="10" name="Chart 9">
          <a:extLst>
            <a:ext uri="{FF2B5EF4-FFF2-40B4-BE49-F238E27FC236}">
              <a16:creationId xmlns:a16="http://schemas.microsoft.com/office/drawing/2014/main" id="{703EB6A6-FAF3-4158-9113-1479BA2DB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1056408</xdr:colOff>
      <xdr:row>189</xdr:row>
      <xdr:rowOff>138547</xdr:rowOff>
    </xdr:from>
    <xdr:to>
      <xdr:col>16</xdr:col>
      <xdr:colOff>32139</xdr:colOff>
      <xdr:row>200</xdr:row>
      <xdr:rowOff>97415</xdr:rowOff>
    </xdr:to>
    <xdr:graphicFrame macro="">
      <xdr:nvGraphicFramePr>
        <xdr:cNvPr id="11" name="Chart 10">
          <a:extLst>
            <a:ext uri="{FF2B5EF4-FFF2-40B4-BE49-F238E27FC236}">
              <a16:creationId xmlns:a16="http://schemas.microsoft.com/office/drawing/2014/main" id="{BD303FA3-C578-473E-9556-19817C838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571550</xdr:colOff>
      <xdr:row>180</xdr:row>
      <xdr:rowOff>156610</xdr:rowOff>
    </xdr:from>
    <xdr:to>
      <xdr:col>27</xdr:col>
      <xdr:colOff>260027</xdr:colOff>
      <xdr:row>202</xdr:row>
      <xdr:rowOff>174540</xdr:rowOff>
    </xdr:to>
    <xdr:graphicFrame macro="">
      <xdr:nvGraphicFramePr>
        <xdr:cNvPr id="12" name="Chart 11">
          <a:extLst>
            <a:ext uri="{FF2B5EF4-FFF2-40B4-BE49-F238E27FC236}">
              <a16:creationId xmlns:a16="http://schemas.microsoft.com/office/drawing/2014/main" id="{9DFDCA83-07FA-4DEB-A398-7099CBDBD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xdr:col>
      <xdr:colOff>432954</xdr:colOff>
      <xdr:row>180</xdr:row>
      <xdr:rowOff>166254</xdr:rowOff>
    </xdr:from>
    <xdr:to>
      <xdr:col>3</xdr:col>
      <xdr:colOff>1413163</xdr:colOff>
      <xdr:row>194</xdr:row>
      <xdr:rowOff>23379</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C353239B-7F34-05D2-BFE7-3BB18B7BF68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98863" y="3561657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1165513</xdr:colOff>
      <xdr:row>180</xdr:row>
      <xdr:rowOff>148936</xdr:rowOff>
    </xdr:from>
    <xdr:to>
      <xdr:col>7</xdr:col>
      <xdr:colOff>1366404</xdr:colOff>
      <xdr:row>194</xdr:row>
      <xdr:rowOff>6061</xdr:rowOff>
    </xdr:to>
    <mc:AlternateContent xmlns:mc="http://schemas.openxmlformats.org/markup-compatibility/2006">
      <mc:Choice xmlns:a14="http://schemas.microsoft.com/office/drawing/2010/main" Requires="a14">
        <xdr:graphicFrame macro="">
          <xdr:nvGraphicFramePr>
            <xdr:cNvPr id="14" name="City 1">
              <a:extLst>
                <a:ext uri="{FF2B5EF4-FFF2-40B4-BE49-F238E27FC236}">
                  <a16:creationId xmlns:a16="http://schemas.microsoft.com/office/drawing/2014/main" id="{58AF0C52-731E-9F78-E160-29DC3FC3967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8075468" y="3559925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975014</xdr:colOff>
      <xdr:row>181</xdr:row>
      <xdr:rowOff>27709</xdr:rowOff>
    </xdr:from>
    <xdr:to>
      <xdr:col>12</xdr:col>
      <xdr:colOff>1020041</xdr:colOff>
      <xdr:row>194</xdr:row>
      <xdr:rowOff>75334</xdr:rowOff>
    </xdr:to>
    <mc:AlternateContent xmlns:mc="http://schemas.openxmlformats.org/markup-compatibility/2006">
      <mc:Choice xmlns:a14="http://schemas.microsoft.com/office/drawing/2010/main" Requires="a14">
        <xdr:graphicFrame macro="">
          <xdr:nvGraphicFramePr>
            <xdr:cNvPr id="15" name="Sales person">
              <a:extLst>
                <a:ext uri="{FF2B5EF4-FFF2-40B4-BE49-F238E27FC236}">
                  <a16:creationId xmlns:a16="http://schemas.microsoft.com/office/drawing/2014/main" id="{5F297720-2720-7DAA-DFF3-8399C511AA9D}"/>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15002741" y="3566852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123264</xdr:colOff>
      <xdr:row>206</xdr:row>
      <xdr:rowOff>123264</xdr:rowOff>
    </xdr:from>
    <xdr:to>
      <xdr:col>7</xdr:col>
      <xdr:colOff>628089</xdr:colOff>
      <xdr:row>221</xdr:row>
      <xdr:rowOff>13725</xdr:rowOff>
    </xdr:to>
    <xdr:graphicFrame macro="">
      <xdr:nvGraphicFramePr>
        <xdr:cNvPr id="16" name="Chart 15">
          <a:extLst>
            <a:ext uri="{FF2B5EF4-FFF2-40B4-BE49-F238E27FC236}">
              <a16:creationId xmlns:a16="http://schemas.microsoft.com/office/drawing/2014/main" id="{4E180757-FF1D-4BAE-A80A-883284241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33618</xdr:colOff>
      <xdr:row>226</xdr:row>
      <xdr:rowOff>156883</xdr:rowOff>
    </xdr:from>
    <xdr:to>
      <xdr:col>8</xdr:col>
      <xdr:colOff>176491</xdr:colOff>
      <xdr:row>242</xdr:row>
      <xdr:rowOff>41182</xdr:rowOff>
    </xdr:to>
    <xdr:graphicFrame macro="">
      <xdr:nvGraphicFramePr>
        <xdr:cNvPr id="17" name="Chart 16">
          <a:extLst>
            <a:ext uri="{FF2B5EF4-FFF2-40B4-BE49-F238E27FC236}">
              <a16:creationId xmlns:a16="http://schemas.microsoft.com/office/drawing/2014/main" id="{88D98F5B-789D-4761-80E2-8450032F2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431936</xdr:colOff>
      <xdr:row>246</xdr:row>
      <xdr:rowOff>138546</xdr:rowOff>
    </xdr:from>
    <xdr:to>
      <xdr:col>6</xdr:col>
      <xdr:colOff>1126701</xdr:colOff>
      <xdr:row>261</xdr:row>
      <xdr:rowOff>52541</xdr:rowOff>
    </xdr:to>
    <xdr:graphicFrame macro="">
      <xdr:nvGraphicFramePr>
        <xdr:cNvPr id="18" name="Chart 17">
          <a:extLst>
            <a:ext uri="{FF2B5EF4-FFF2-40B4-BE49-F238E27FC236}">
              <a16:creationId xmlns:a16="http://schemas.microsoft.com/office/drawing/2014/main" id="{E1E112A7-42B3-497D-9E95-3DAECBE94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25.664939814815" createdVersion="8" refreshedVersion="8" minRefreshableVersion="3" recordCount="20" xr:uid="{467B7CAB-FCA5-46AE-809F-4F30EA2F7B3B}">
  <cacheSource type="worksheet">
    <worksheetSource name="Table2"/>
  </cacheSource>
  <cacheFields count="10">
    <cacheField name="O.ID" numFmtId="0">
      <sharedItems containsSemiMixedTypes="0" containsString="0" containsNumber="1" containsInteger="1" minValue="1001" maxValue="1020"/>
    </cacheField>
    <cacheField name="Date" numFmtId="164">
      <sharedItems containsSemiMixedTypes="0" containsNonDate="0" containsDate="1" containsString="0" minDate="2026-07-01T00:00:00" maxDate="2026-07-21T00:00:00"/>
    </cacheField>
    <cacheField name="Customer" numFmtId="0">
      <sharedItems/>
    </cacheField>
    <cacheField name="Products" numFmtId="0">
      <sharedItems/>
    </cacheField>
    <cacheField name="Category" numFmtId="0">
      <sharedItems count="2">
        <s v="Electronics"/>
        <s v="Furniture"/>
      </sharedItems>
    </cacheField>
    <cacheField name="City" numFmtId="0">
      <sharedItems/>
    </cacheField>
    <cacheField name="Sales person" numFmtId="0">
      <sharedItems/>
    </cacheField>
    <cacheField name="Qty" numFmtId="0">
      <sharedItems containsSemiMixedTypes="0" containsString="0" containsNumber="1" containsInteger="1" minValue="1" maxValue="10"/>
    </cacheField>
    <cacheField name="Unite price" numFmtId="0">
      <sharedItems containsSemiMixedTypes="0" containsString="0" containsNumber="1" containsInteger="1" minValue="800" maxValue="55000"/>
    </cacheField>
    <cacheField name="Discount" numFmtId="0">
      <sharedItems containsSemiMixedTypes="0" containsString="0" containsNumber="1" containsInteger="1" minValue="3" maxValue="1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25.670139004629" createdVersion="8" refreshedVersion="8" minRefreshableVersion="3" recordCount="20" xr:uid="{5FE4A047-62A3-4FC2-9C4C-784817CA9B0B}">
  <cacheSource type="worksheet">
    <worksheetSource name="Table25"/>
  </cacheSource>
  <cacheFields count="10">
    <cacheField name="O.ID" numFmtId="0">
      <sharedItems containsSemiMixedTypes="0" containsString="0" containsNumber="1" containsInteger="1" minValue="1001" maxValue="1020"/>
    </cacheField>
    <cacheField name="Date" numFmtId="164">
      <sharedItems containsSemiMixedTypes="0" containsNonDate="0" containsDate="1" containsString="0" minDate="2026-07-01T00:00:00" maxDate="2026-07-21T00:00:00"/>
    </cacheField>
    <cacheField name="Customer" numFmtId="0">
      <sharedItems/>
    </cacheField>
    <cacheField name="Products" numFmtId="0">
      <sharedItems count="20">
        <s v="Laptop"/>
        <s v="Chair"/>
        <s v="Phone"/>
        <s v="Table"/>
        <s v="Printer"/>
        <s v="Moniter"/>
        <s v="Sofa"/>
        <s v="Keyboard"/>
        <s v="Dining table"/>
        <s v="Mouse"/>
        <s v="Bed"/>
        <s v="Head phone"/>
        <s v="Cub board"/>
        <s v="Smart Watch"/>
        <s v="Book shelf"/>
        <s v="Tablet"/>
        <s v="Office Chair"/>
        <s v="External Hard Disk"/>
        <s v="TV Stand"/>
        <s v="Air Conditioner"/>
      </sharedItems>
    </cacheField>
    <cacheField name="Category" numFmtId="0">
      <sharedItems/>
    </cacheField>
    <cacheField name="City" numFmtId="0">
      <sharedItems/>
    </cacheField>
    <cacheField name="Sales person" numFmtId="0">
      <sharedItems/>
    </cacheField>
    <cacheField name="Qty" numFmtId="0">
      <sharedItems containsSemiMixedTypes="0" containsString="0" containsNumber="1" containsInteger="1" minValue="1" maxValue="10"/>
    </cacheField>
    <cacheField name="Unite price" numFmtId="0">
      <sharedItems containsSemiMixedTypes="0" containsString="0" containsNumber="1" containsInteger="1" minValue="800" maxValue="55000"/>
    </cacheField>
    <cacheField name="Discount" numFmtId="0">
      <sharedItems containsSemiMixedTypes="0" containsString="0" containsNumber="1" containsInteger="1" minValue="3" maxValue="1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25.851994097226" createdVersion="8" refreshedVersion="8" minRefreshableVersion="3" recordCount="20" xr:uid="{937393BB-3755-444A-BBB1-E4D11C086301}">
  <cacheSource type="worksheet">
    <worksheetSource name="Table256"/>
  </cacheSource>
  <cacheFields count="16">
    <cacheField name="O.ID" numFmtId="0">
      <sharedItems containsSemiMixedTypes="0" containsString="0" containsNumber="1" containsInteger="1" minValue="1001" maxValue="1020"/>
    </cacheField>
    <cacheField name="Date" numFmtId="164">
      <sharedItems containsSemiMixedTypes="0" containsNonDate="0" containsDate="1" containsString="0" minDate="2026-07-01T00:00:00" maxDate="2026-07-21T00:00:00" count="2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sharedItems>
    </cacheField>
    <cacheField name="Customer" numFmtId="0">
      <sharedItems count="20">
        <s v="Arun"/>
        <s v="Divya"/>
        <s v="Vijay"/>
        <s v="Meena"/>
        <s v="Karthik"/>
        <s v="Sneha"/>
        <s v="Rahul"/>
        <s v="Anitha"/>
        <s v="Suresh"/>
        <s v="Kavitha"/>
        <s v="Dinesh"/>
        <s v="Lakshimi"/>
        <s v="Prakash"/>
        <s v="Revathi"/>
        <s v="Hari"/>
        <s v="Nisha"/>
        <s v="Gokul"/>
        <s v="Asha"/>
        <s v="Sanjay"/>
        <s v="Keerthi"/>
      </sharedItems>
    </cacheField>
    <cacheField name="Products" numFmtId="0">
      <sharedItems count="20">
        <s v="Laptop"/>
        <s v="Chair"/>
        <s v="Phone"/>
        <s v="Table"/>
        <s v="Printer"/>
        <s v="Moniter"/>
        <s v="Sofa"/>
        <s v="Keyboard"/>
        <s v="Dining table"/>
        <s v="Mouse"/>
        <s v="Bed"/>
        <s v="Head phone"/>
        <s v="Cub board"/>
        <s v="Smart Watch"/>
        <s v="Book shelf"/>
        <s v="Tablet"/>
        <s v="Office Chair"/>
        <s v="External Hard Disk"/>
        <s v="TV Stand"/>
        <s v="Air Conditioner"/>
      </sharedItems>
    </cacheField>
    <cacheField name="Category" numFmtId="0">
      <sharedItems count="2">
        <s v="Electronics"/>
        <s v="Furniture"/>
      </sharedItems>
    </cacheField>
    <cacheField name="City" numFmtId="0">
      <sharedItems count="5">
        <s v="Chennai"/>
        <s v="Madurai"/>
        <s v="Coimbatore"/>
        <s v="Trichy"/>
        <s v="Salem"/>
      </sharedItems>
    </cacheField>
    <cacheField name="Sales person" numFmtId="0">
      <sharedItems count="3">
        <s v="Priya"/>
        <s v="Kumar"/>
        <s v="Ravi"/>
      </sharedItems>
    </cacheField>
    <cacheField name="Qty" numFmtId="0">
      <sharedItems containsSemiMixedTypes="0" containsString="0" containsNumber="1" containsInteger="1" minValue="1" maxValue="10"/>
    </cacheField>
    <cacheField name="Unite price" numFmtId="0">
      <sharedItems containsSemiMixedTypes="0" containsString="0" containsNumber="1" containsInteger="1" minValue="800" maxValue="55000" count="18">
        <n v="55000"/>
        <n v="3000"/>
        <n v="20000"/>
        <n v="7000"/>
        <n v="15000"/>
        <n v="18000"/>
        <n v="25000"/>
        <n v="1500"/>
        <n v="800"/>
        <n v="30000"/>
        <n v="2500"/>
        <n v="22000"/>
        <n v="12000"/>
        <n v="28000"/>
        <n v="6500"/>
        <n v="6000"/>
        <n v="9000"/>
        <n v="42000"/>
      </sharedItems>
    </cacheField>
    <cacheField name="Discount" numFmtId="0">
      <sharedItems containsSemiMixedTypes="0" containsString="0" containsNumber="1" containsInteger="1" minValue="3" maxValue="15"/>
    </cacheField>
    <cacheField name="Seniority" numFmtId="0">
      <sharedItems containsBlank="1"/>
    </cacheField>
    <cacheField name="Final Amount" numFmtId="0">
      <sharedItems containsSemiMixedTypes="0" containsString="0" containsNumber="1" containsInteger="1" minValue="2400" maxValue="630000"/>
    </cacheField>
    <cacheField name="Qty &amp; Discount check" numFmtId="0">
      <sharedItems/>
    </cacheField>
    <cacheField name="Order Status" numFmtId="0">
      <sharedItems count="3">
        <s v="High Value"/>
        <s v="Low Value"/>
        <s v="Medium Value"/>
      </sharedItems>
    </cacheField>
    <cacheField name="Electronics sales " numFmtId="0">
      <sharedItems/>
    </cacheField>
    <cacheField name="GST" numFmtId="0">
      <sharedItems containsSemiMixedTypes="0" containsString="0" containsNumber="1" containsInteger="1" minValue="432" maxValue="113400"/>
    </cacheField>
  </cacheFields>
  <extLst>
    <ext xmlns:x14="http://schemas.microsoft.com/office/spreadsheetml/2009/9/main" uri="{725AE2AE-9491-48be-B2B4-4EB974FC3084}">
      <x14:pivotCacheDefinition pivotCacheId="153656169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26.633039351851" createdVersion="8" refreshedVersion="8" minRefreshableVersion="3" recordCount="20" xr:uid="{135EB5D7-6A1E-44A7-BB07-45556E8B0BCA}">
  <cacheSource type="worksheet">
    <worksheetSource ref="B37:F57" sheet="case study"/>
  </cacheSource>
  <cacheFields count="5">
    <cacheField name="Customer" numFmtId="0">
      <sharedItems count="20">
        <s v="Arun"/>
        <s v="Divya"/>
        <s v="Vijay"/>
        <s v="Meena"/>
        <s v="Karthik"/>
        <s v="Sneha"/>
        <s v="Rahul"/>
        <s v="Anitha"/>
        <s v="Suresh"/>
        <s v="Kavitha"/>
        <s v="Dinesh"/>
        <s v="Lakshimi"/>
        <s v="Prakash"/>
        <s v="Revathi"/>
        <s v="Hari"/>
        <s v="Nisha"/>
        <s v="Gokul"/>
        <s v="Asha"/>
        <s v="Sanjay"/>
        <s v="Keerthi"/>
      </sharedItems>
    </cacheField>
    <cacheField name="Qty" numFmtId="0">
      <sharedItems containsSemiMixedTypes="0" containsString="0" containsNumber="1" containsInteger="1" minValue="1" maxValue="10"/>
    </cacheField>
    <cacheField name="Unite price" numFmtId="0">
      <sharedItems containsSemiMixedTypes="0" containsString="0" containsNumber="1" containsInteger="1" minValue="800" maxValue="55000"/>
    </cacheField>
    <cacheField name="Saled amount" numFmtId="0">
      <sharedItems containsSemiMixedTypes="0" containsString="0" containsNumber="1" containsInteger="1" minValue="8000" maxValue="110000"/>
    </cacheField>
    <cacheField name="Final amount" numFmtId="0">
      <sharedItems containsSemiMixedTypes="0" containsString="0" containsNumber="1" containsInteger="1" minValue="7760" maxValue="99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d v="2026-07-01T00:00:00"/>
    <s v="Arun"/>
    <s v="Laptop"/>
    <x v="0"/>
    <s v="Chennai"/>
    <s v="Priya"/>
    <n v="2"/>
    <n v="55000"/>
    <n v="10"/>
  </r>
  <r>
    <n v="1002"/>
    <d v="2026-07-02T00:00:00"/>
    <s v="Divya"/>
    <s v="Chair"/>
    <x v="1"/>
    <s v="Madurai"/>
    <s v="Kumar"/>
    <n v="5"/>
    <n v="3000"/>
    <n v="5"/>
  </r>
  <r>
    <n v="1003"/>
    <d v="2026-07-03T00:00:00"/>
    <s v="Vijay"/>
    <s v="Phone"/>
    <x v="0"/>
    <s v="Coimbatore"/>
    <s v="Priya"/>
    <n v="3"/>
    <n v="20000"/>
    <n v="8"/>
  </r>
  <r>
    <n v="1004"/>
    <d v="2026-07-04T00:00:00"/>
    <s v="Meena"/>
    <s v="Table"/>
    <x v="1"/>
    <s v="Trichy"/>
    <s v="Ravi"/>
    <n v="2"/>
    <n v="7000"/>
    <n v="6"/>
  </r>
  <r>
    <n v="1005"/>
    <d v="2026-07-05T00:00:00"/>
    <s v="Karthik"/>
    <s v="Printer"/>
    <x v="0"/>
    <s v="Salem"/>
    <s v="Kumar"/>
    <n v="4"/>
    <n v="15000"/>
    <n v="12"/>
  </r>
  <r>
    <n v="1006"/>
    <d v="2026-07-06T00:00:00"/>
    <s v="Sneha"/>
    <s v="Moniter"/>
    <x v="0"/>
    <s v="Chennai"/>
    <s v="Ravi"/>
    <n v="3"/>
    <n v="18000"/>
    <n v="10"/>
  </r>
  <r>
    <n v="1007"/>
    <d v="2026-07-07T00:00:00"/>
    <s v="Rahul"/>
    <s v="Sofa"/>
    <x v="1"/>
    <s v="Madurai"/>
    <s v="Priya"/>
    <n v="1"/>
    <n v="25000"/>
    <n v="15"/>
  </r>
  <r>
    <n v="1008"/>
    <d v="2026-07-08T00:00:00"/>
    <s v="Anitha"/>
    <s v="Keyboard"/>
    <x v="0"/>
    <s v="Trichy"/>
    <s v="Kumar"/>
    <n v="6"/>
    <n v="1500"/>
    <n v="5"/>
  </r>
  <r>
    <n v="1009"/>
    <d v="2026-07-09T00:00:00"/>
    <s v="Suresh"/>
    <s v="Dining table"/>
    <x v="1"/>
    <s v="Coimbatore"/>
    <s v="Ravi"/>
    <n v="2"/>
    <n v="18000"/>
    <n v="8"/>
  </r>
  <r>
    <n v="1010"/>
    <d v="2026-07-10T00:00:00"/>
    <s v="Kavitha"/>
    <s v="Mouse"/>
    <x v="0"/>
    <s v="Salem"/>
    <s v="Priya"/>
    <n v="10"/>
    <n v="800"/>
    <n v="3"/>
  </r>
  <r>
    <n v="1011"/>
    <d v="2026-07-11T00:00:00"/>
    <s v="Dinesh"/>
    <s v="Bed"/>
    <x v="1"/>
    <s v="Chennai"/>
    <s v="Kumar"/>
    <n v="2"/>
    <n v="30000"/>
    <n v="10"/>
  </r>
  <r>
    <n v="1012"/>
    <d v="2026-07-12T00:00:00"/>
    <s v="Lakshimi"/>
    <s v="Head phone"/>
    <x v="0"/>
    <s v="Madurai"/>
    <s v="Ravi"/>
    <n v="5"/>
    <n v="2500"/>
    <n v="7"/>
  </r>
  <r>
    <n v="1013"/>
    <d v="2026-07-13T00:00:00"/>
    <s v="Prakash"/>
    <s v="Cub board"/>
    <x v="1"/>
    <s v="Trichy"/>
    <s v="Priya"/>
    <n v="2"/>
    <n v="22000"/>
    <n v="12"/>
  </r>
  <r>
    <n v="1014"/>
    <d v="2026-07-14T00:00:00"/>
    <s v="Revathi"/>
    <s v="Smart Watch"/>
    <x v="0"/>
    <s v="Coimbatore"/>
    <s v="Kumar"/>
    <n v="4"/>
    <n v="12000"/>
    <n v="5"/>
  </r>
  <r>
    <n v="1015"/>
    <d v="2026-07-15T00:00:00"/>
    <s v="Hari"/>
    <s v="Book shelf"/>
    <x v="1"/>
    <s v="Salem"/>
    <s v="Ravi"/>
    <n v="3"/>
    <n v="7000"/>
    <n v="6"/>
  </r>
  <r>
    <n v="1016"/>
    <d v="2026-07-16T00:00:00"/>
    <s v="Nisha"/>
    <s v="Tablet"/>
    <x v="0"/>
    <s v="Chennai"/>
    <s v="Priya"/>
    <n v="2"/>
    <n v="28000"/>
    <n v="9"/>
  </r>
  <r>
    <n v="1017"/>
    <d v="2026-07-17T00:00:00"/>
    <s v="Gokul"/>
    <s v="Office Chair"/>
    <x v="1"/>
    <s v="Madurai"/>
    <s v="Kumar"/>
    <n v="4"/>
    <n v="6500"/>
    <n v="10"/>
  </r>
  <r>
    <n v="1018"/>
    <d v="2026-07-18T00:00:00"/>
    <s v="Asha"/>
    <s v="External Hard Disk"/>
    <x v="0"/>
    <s v="Trichy"/>
    <s v="Ravi"/>
    <n v="3"/>
    <n v="6000"/>
    <n v="8"/>
  </r>
  <r>
    <n v="1019"/>
    <d v="2026-07-19T00:00:00"/>
    <s v="Sanjay"/>
    <s v="TV Stand"/>
    <x v="1"/>
    <s v="Coimbatore"/>
    <s v="Priya"/>
    <n v="2"/>
    <n v="9000"/>
    <n v="5"/>
  </r>
  <r>
    <n v="1020"/>
    <d v="2026-07-20T00:00:00"/>
    <s v="Keerthi"/>
    <s v="Air Conditioner"/>
    <x v="0"/>
    <s v="Salem"/>
    <s v="Kumar"/>
    <n v="1"/>
    <n v="42000"/>
    <n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d v="2026-07-01T00:00:00"/>
    <s v="Arun"/>
    <x v="0"/>
    <s v="Electronics"/>
    <s v="Chennai"/>
    <s v="Priya"/>
    <n v="2"/>
    <n v="55000"/>
    <n v="10"/>
  </r>
  <r>
    <n v="1002"/>
    <d v="2026-07-02T00:00:00"/>
    <s v="Divya"/>
    <x v="1"/>
    <s v="Furniture"/>
    <s v="Madurai"/>
    <s v="Kumar"/>
    <n v="5"/>
    <n v="3000"/>
    <n v="5"/>
  </r>
  <r>
    <n v="1003"/>
    <d v="2026-07-03T00:00:00"/>
    <s v="Vijay"/>
    <x v="2"/>
    <s v="Electronics"/>
    <s v="Coimbatore"/>
    <s v="Priya"/>
    <n v="3"/>
    <n v="20000"/>
    <n v="8"/>
  </r>
  <r>
    <n v="1004"/>
    <d v="2026-07-04T00:00:00"/>
    <s v="Meena"/>
    <x v="3"/>
    <s v="Furniture"/>
    <s v="Trichy"/>
    <s v="Ravi"/>
    <n v="2"/>
    <n v="7000"/>
    <n v="6"/>
  </r>
  <r>
    <n v="1005"/>
    <d v="2026-07-05T00:00:00"/>
    <s v="Karthik"/>
    <x v="4"/>
    <s v="Electronics"/>
    <s v="Salem"/>
    <s v="Kumar"/>
    <n v="4"/>
    <n v="15000"/>
    <n v="12"/>
  </r>
  <r>
    <n v="1006"/>
    <d v="2026-07-06T00:00:00"/>
    <s v="Sneha"/>
    <x v="5"/>
    <s v="Electronics"/>
    <s v="Chennai"/>
    <s v="Ravi"/>
    <n v="3"/>
    <n v="18000"/>
    <n v="10"/>
  </r>
  <r>
    <n v="1007"/>
    <d v="2026-07-07T00:00:00"/>
    <s v="Rahul"/>
    <x v="6"/>
    <s v="Furniture"/>
    <s v="Madurai"/>
    <s v="Priya"/>
    <n v="1"/>
    <n v="25000"/>
    <n v="15"/>
  </r>
  <r>
    <n v="1008"/>
    <d v="2026-07-08T00:00:00"/>
    <s v="Anitha"/>
    <x v="7"/>
    <s v="Electronics"/>
    <s v="Trichy"/>
    <s v="Kumar"/>
    <n v="6"/>
    <n v="1500"/>
    <n v="5"/>
  </r>
  <r>
    <n v="1009"/>
    <d v="2026-07-09T00:00:00"/>
    <s v="Suresh"/>
    <x v="8"/>
    <s v="Furniture"/>
    <s v="Coimbatore"/>
    <s v="Ravi"/>
    <n v="2"/>
    <n v="18000"/>
    <n v="8"/>
  </r>
  <r>
    <n v="1010"/>
    <d v="2026-07-10T00:00:00"/>
    <s v="Kavitha"/>
    <x v="9"/>
    <s v="Electronics"/>
    <s v="Salem"/>
    <s v="Priya"/>
    <n v="10"/>
    <n v="800"/>
    <n v="3"/>
  </r>
  <r>
    <n v="1011"/>
    <d v="2026-07-11T00:00:00"/>
    <s v="Dinesh"/>
    <x v="10"/>
    <s v="Furniture"/>
    <s v="Chennai"/>
    <s v="Kumar"/>
    <n v="2"/>
    <n v="30000"/>
    <n v="10"/>
  </r>
  <r>
    <n v="1012"/>
    <d v="2026-07-12T00:00:00"/>
    <s v="Lakshimi"/>
    <x v="11"/>
    <s v="Electronics"/>
    <s v="Madurai"/>
    <s v="Ravi"/>
    <n v="5"/>
    <n v="2500"/>
    <n v="7"/>
  </r>
  <r>
    <n v="1013"/>
    <d v="2026-07-13T00:00:00"/>
    <s v="Prakash"/>
    <x v="12"/>
    <s v="Furniture"/>
    <s v="Trichy"/>
    <s v="Priya"/>
    <n v="2"/>
    <n v="22000"/>
    <n v="12"/>
  </r>
  <r>
    <n v="1014"/>
    <d v="2026-07-14T00:00:00"/>
    <s v="Revathi"/>
    <x v="13"/>
    <s v="Electronics"/>
    <s v="Coimbatore"/>
    <s v="Kumar"/>
    <n v="4"/>
    <n v="12000"/>
    <n v="5"/>
  </r>
  <r>
    <n v="1015"/>
    <d v="2026-07-15T00:00:00"/>
    <s v="Hari"/>
    <x v="14"/>
    <s v="Furniture"/>
    <s v="Salem"/>
    <s v="Ravi"/>
    <n v="3"/>
    <n v="7000"/>
    <n v="6"/>
  </r>
  <r>
    <n v="1016"/>
    <d v="2026-07-16T00:00:00"/>
    <s v="Nisha"/>
    <x v="15"/>
    <s v="Electronics"/>
    <s v="Chennai"/>
    <s v="Priya"/>
    <n v="2"/>
    <n v="28000"/>
    <n v="9"/>
  </r>
  <r>
    <n v="1017"/>
    <d v="2026-07-17T00:00:00"/>
    <s v="Gokul"/>
    <x v="16"/>
    <s v="Furniture"/>
    <s v="Madurai"/>
    <s v="Kumar"/>
    <n v="4"/>
    <n v="6500"/>
    <n v="10"/>
  </r>
  <r>
    <n v="1018"/>
    <d v="2026-07-18T00:00:00"/>
    <s v="Asha"/>
    <x v="17"/>
    <s v="Electronics"/>
    <s v="Trichy"/>
    <s v="Ravi"/>
    <n v="3"/>
    <n v="6000"/>
    <n v="8"/>
  </r>
  <r>
    <n v="1019"/>
    <d v="2026-07-19T00:00:00"/>
    <s v="Sanjay"/>
    <x v="18"/>
    <s v="Furniture"/>
    <s v="Coimbatore"/>
    <s v="Priya"/>
    <n v="2"/>
    <n v="9000"/>
    <n v="5"/>
  </r>
  <r>
    <n v="1020"/>
    <d v="2026-07-20T00:00:00"/>
    <s v="Keerthi"/>
    <x v="19"/>
    <s v="Electronics"/>
    <s v="Salem"/>
    <s v="Kumar"/>
    <n v="1"/>
    <n v="42000"/>
    <n v="1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x v="0"/>
    <x v="0"/>
    <x v="0"/>
    <x v="0"/>
    <x v="0"/>
    <x v="0"/>
    <n v="2"/>
    <x v="0"/>
    <n v="10"/>
    <s v="Senior Staff"/>
    <n v="550000"/>
    <s v="No"/>
    <x v="0"/>
    <s v="High Sale"/>
    <n v="99000"/>
  </r>
  <r>
    <n v="1002"/>
    <x v="1"/>
    <x v="1"/>
    <x v="1"/>
    <x v="1"/>
    <x v="1"/>
    <x v="1"/>
    <n v="5"/>
    <x v="1"/>
    <n v="5"/>
    <m/>
    <n v="15000"/>
    <s v="Yes"/>
    <x v="1"/>
    <s v="Narmal Sale"/>
    <n v="2700"/>
  </r>
  <r>
    <n v="1003"/>
    <x v="2"/>
    <x v="2"/>
    <x v="2"/>
    <x v="0"/>
    <x v="2"/>
    <x v="0"/>
    <n v="3"/>
    <x v="2"/>
    <n v="8"/>
    <s v="Senior Staff"/>
    <n v="160000"/>
    <s v="No"/>
    <x v="0"/>
    <s v="High Sale"/>
    <n v="28800"/>
  </r>
  <r>
    <n v="1004"/>
    <x v="3"/>
    <x v="3"/>
    <x v="3"/>
    <x v="1"/>
    <x v="3"/>
    <x v="2"/>
    <n v="2"/>
    <x v="3"/>
    <n v="6"/>
    <s v="Senior Staff"/>
    <n v="42000"/>
    <s v="No"/>
    <x v="2"/>
    <s v="Narmal Sale"/>
    <n v="7560"/>
  </r>
  <r>
    <n v="1005"/>
    <x v="4"/>
    <x v="4"/>
    <x v="4"/>
    <x v="0"/>
    <x v="4"/>
    <x v="1"/>
    <n v="4"/>
    <x v="4"/>
    <n v="12"/>
    <m/>
    <n v="180000"/>
    <s v="Yes"/>
    <x v="0"/>
    <s v="High Sale"/>
    <n v="32400"/>
  </r>
  <r>
    <n v="1006"/>
    <x v="5"/>
    <x v="5"/>
    <x v="5"/>
    <x v="0"/>
    <x v="0"/>
    <x v="2"/>
    <n v="3"/>
    <x v="5"/>
    <n v="10"/>
    <s v="Senior Staff"/>
    <n v="180000"/>
    <s v="No"/>
    <x v="0"/>
    <s v="High Sale"/>
    <n v="32400"/>
  </r>
  <r>
    <n v="1007"/>
    <x v="6"/>
    <x v="6"/>
    <x v="6"/>
    <x v="1"/>
    <x v="1"/>
    <x v="0"/>
    <n v="1"/>
    <x v="6"/>
    <n v="15"/>
    <s v="Senior Staff"/>
    <n v="375000"/>
    <s v="No"/>
    <x v="0"/>
    <s v="Narmal Sale"/>
    <n v="67500"/>
  </r>
  <r>
    <n v="1008"/>
    <x v="7"/>
    <x v="7"/>
    <x v="7"/>
    <x v="0"/>
    <x v="3"/>
    <x v="1"/>
    <n v="6"/>
    <x v="7"/>
    <n v="5"/>
    <m/>
    <n v="7500"/>
    <s v="Yes"/>
    <x v="1"/>
    <s v="Narmal Sale"/>
    <n v="1350"/>
  </r>
  <r>
    <n v="1009"/>
    <x v="8"/>
    <x v="8"/>
    <x v="8"/>
    <x v="1"/>
    <x v="2"/>
    <x v="2"/>
    <n v="2"/>
    <x v="5"/>
    <n v="8"/>
    <s v="Senior Staff"/>
    <n v="144000"/>
    <s v="No"/>
    <x v="0"/>
    <s v="Narmal Sale"/>
    <n v="25920"/>
  </r>
  <r>
    <n v="1010"/>
    <x v="9"/>
    <x v="9"/>
    <x v="9"/>
    <x v="0"/>
    <x v="4"/>
    <x v="0"/>
    <n v="10"/>
    <x v="8"/>
    <n v="3"/>
    <s v="Senior Staff"/>
    <n v="2400"/>
    <s v="No"/>
    <x v="1"/>
    <s v="Narmal Sale"/>
    <n v="432"/>
  </r>
  <r>
    <n v="1011"/>
    <x v="10"/>
    <x v="10"/>
    <x v="10"/>
    <x v="1"/>
    <x v="0"/>
    <x v="1"/>
    <n v="2"/>
    <x v="9"/>
    <n v="10"/>
    <m/>
    <n v="300000"/>
    <s v="No"/>
    <x v="0"/>
    <s v="Narmal Sale"/>
    <n v="54000"/>
  </r>
  <r>
    <n v="1012"/>
    <x v="11"/>
    <x v="11"/>
    <x v="11"/>
    <x v="0"/>
    <x v="1"/>
    <x v="2"/>
    <n v="5"/>
    <x v="10"/>
    <n v="7"/>
    <s v="Senior Staff"/>
    <n v="17500"/>
    <s v="Yes"/>
    <x v="1"/>
    <s v="Narmal Sale"/>
    <n v="3150"/>
  </r>
  <r>
    <n v="1013"/>
    <x v="12"/>
    <x v="12"/>
    <x v="12"/>
    <x v="1"/>
    <x v="3"/>
    <x v="0"/>
    <n v="2"/>
    <x v="11"/>
    <n v="12"/>
    <s v="Senior Staff"/>
    <n v="264000"/>
    <s v="No"/>
    <x v="0"/>
    <s v="Narmal Sale"/>
    <n v="47520"/>
  </r>
  <r>
    <n v="1014"/>
    <x v="13"/>
    <x v="13"/>
    <x v="13"/>
    <x v="0"/>
    <x v="2"/>
    <x v="1"/>
    <n v="4"/>
    <x v="12"/>
    <n v="5"/>
    <m/>
    <n v="60000"/>
    <s v="Yes"/>
    <x v="2"/>
    <s v="High Sale"/>
    <n v="10800"/>
  </r>
  <r>
    <n v="1015"/>
    <x v="14"/>
    <x v="14"/>
    <x v="14"/>
    <x v="1"/>
    <x v="4"/>
    <x v="2"/>
    <n v="3"/>
    <x v="3"/>
    <n v="6"/>
    <s v="Senior Staff"/>
    <n v="42000"/>
    <s v="No"/>
    <x v="2"/>
    <s v="Narmal Sale"/>
    <n v="7560"/>
  </r>
  <r>
    <n v="1016"/>
    <x v="15"/>
    <x v="15"/>
    <x v="15"/>
    <x v="0"/>
    <x v="0"/>
    <x v="0"/>
    <n v="2"/>
    <x v="13"/>
    <n v="9"/>
    <s v="Senior Staff"/>
    <n v="252000"/>
    <s v="No"/>
    <x v="0"/>
    <s v="High Sale"/>
    <n v="45360"/>
  </r>
  <r>
    <n v="1017"/>
    <x v="16"/>
    <x v="16"/>
    <x v="16"/>
    <x v="1"/>
    <x v="1"/>
    <x v="1"/>
    <n v="4"/>
    <x v="14"/>
    <n v="10"/>
    <m/>
    <n v="65000"/>
    <s v="Yes"/>
    <x v="2"/>
    <s v="Narmal Sale"/>
    <n v="11700"/>
  </r>
  <r>
    <n v="1018"/>
    <x v="17"/>
    <x v="17"/>
    <x v="17"/>
    <x v="0"/>
    <x v="3"/>
    <x v="2"/>
    <n v="3"/>
    <x v="15"/>
    <n v="8"/>
    <s v="Senior Staff"/>
    <n v="48000"/>
    <s v="No"/>
    <x v="2"/>
    <s v="Narmal Sale"/>
    <n v="8640"/>
  </r>
  <r>
    <n v="1019"/>
    <x v="18"/>
    <x v="18"/>
    <x v="18"/>
    <x v="1"/>
    <x v="2"/>
    <x v="0"/>
    <n v="2"/>
    <x v="16"/>
    <n v="5"/>
    <s v="Senior Staff"/>
    <n v="45000"/>
    <s v="No"/>
    <x v="2"/>
    <s v="Narmal Sale"/>
    <n v="8100"/>
  </r>
  <r>
    <n v="1020"/>
    <x v="19"/>
    <x v="19"/>
    <x v="19"/>
    <x v="0"/>
    <x v="4"/>
    <x v="1"/>
    <n v="1"/>
    <x v="17"/>
    <n v="15"/>
    <m/>
    <n v="630000"/>
    <s v="No"/>
    <x v="0"/>
    <s v="High Sale"/>
    <n v="1134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2"/>
    <n v="55000"/>
    <n v="110000"/>
    <n v="99000"/>
  </r>
  <r>
    <x v="1"/>
    <n v="5"/>
    <n v="3000"/>
    <n v="15000"/>
    <n v="14250"/>
  </r>
  <r>
    <x v="2"/>
    <n v="3"/>
    <n v="20000"/>
    <n v="60000"/>
    <n v="55200"/>
  </r>
  <r>
    <x v="3"/>
    <n v="2"/>
    <n v="7000"/>
    <n v="14000"/>
    <n v="13160"/>
  </r>
  <r>
    <x v="4"/>
    <n v="4"/>
    <n v="15000"/>
    <n v="60000"/>
    <n v="52800"/>
  </r>
  <r>
    <x v="5"/>
    <n v="3"/>
    <n v="18000"/>
    <n v="54000"/>
    <n v="48600"/>
  </r>
  <r>
    <x v="6"/>
    <n v="1"/>
    <n v="25000"/>
    <n v="25000"/>
    <n v="21250"/>
  </r>
  <r>
    <x v="7"/>
    <n v="6"/>
    <n v="1500"/>
    <n v="9000"/>
    <n v="8550"/>
  </r>
  <r>
    <x v="8"/>
    <n v="2"/>
    <n v="18000"/>
    <n v="36000"/>
    <n v="33120"/>
  </r>
  <r>
    <x v="9"/>
    <n v="10"/>
    <n v="800"/>
    <n v="8000"/>
    <n v="7760"/>
  </r>
  <r>
    <x v="10"/>
    <n v="2"/>
    <n v="30000"/>
    <n v="60000"/>
    <n v="54000"/>
  </r>
  <r>
    <x v="11"/>
    <n v="5"/>
    <n v="2500"/>
    <n v="12500"/>
    <n v="11625"/>
  </r>
  <r>
    <x v="12"/>
    <n v="2"/>
    <n v="22000"/>
    <n v="44000"/>
    <n v="38720"/>
  </r>
  <r>
    <x v="13"/>
    <n v="4"/>
    <n v="12000"/>
    <n v="48000"/>
    <n v="45600"/>
  </r>
  <r>
    <x v="14"/>
    <n v="3"/>
    <n v="7000"/>
    <n v="21000"/>
    <n v="19740"/>
  </r>
  <r>
    <x v="15"/>
    <n v="2"/>
    <n v="28000"/>
    <n v="56000"/>
    <n v="50960"/>
  </r>
  <r>
    <x v="16"/>
    <n v="4"/>
    <n v="6500"/>
    <n v="26000"/>
    <n v="23400"/>
  </r>
  <r>
    <x v="17"/>
    <n v="3"/>
    <n v="6000"/>
    <n v="18000"/>
    <n v="16560"/>
  </r>
  <r>
    <x v="18"/>
    <n v="2"/>
    <n v="9000"/>
    <n v="18000"/>
    <n v="17100"/>
  </r>
  <r>
    <x v="19"/>
    <n v="1"/>
    <n v="42000"/>
    <n v="42000"/>
    <n v="35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1F519F-C0BA-4022-82D2-27AC3FD6565B}"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9:B30" firstHeaderRow="1" firstDataRow="1" firstDataCol="0" rowPageCount="1" colPageCount="1"/>
  <pivotFields count="10">
    <pivotField compact="0" outline="0" showAll="0"/>
    <pivotField compact="0" numFmtId="164" outline="0" showAll="0"/>
    <pivotField compact="0" outline="0" showAll="0"/>
    <pivotField compact="0" outline="0" showAll="0"/>
    <pivotField axis="axisPage" compact="0" outline="0" multipleItemSelectionAllowed="1" showAll="0">
      <items count="3">
        <item x="0"/>
        <item h="1" x="1"/>
        <item t="default"/>
      </items>
    </pivotField>
    <pivotField compact="0" outline="0" showAll="0"/>
    <pivotField compact="0" outline="0" showAll="0"/>
    <pivotField compact="0" outline="0" showAll="0"/>
    <pivotField dataField="1" compact="0" outline="0" showAll="0"/>
    <pivotField compact="0" outline="0" showAll="0"/>
  </pivotFields>
  <rowItems count="1">
    <i/>
  </rowItems>
  <colItems count="1">
    <i/>
  </colItems>
  <pageFields count="1">
    <pageField fld="4" hier="-1"/>
  </pageFields>
  <dataFields count="1">
    <dataField name="Sum of Unite price" fld="8" baseField="0" baseItem="0"/>
  </dataFields>
  <formats count="3">
    <format dxfId="974">
      <pivotArea dataOnly="0" labelOnly="1" outline="0" axis="axisValues" fieldPosition="0"/>
    </format>
    <format dxfId="973">
      <pivotArea field="4" type="button" dataOnly="0" labelOnly="1" outline="0" axis="axisPage" fieldPosition="0"/>
    </format>
    <format dxfId="972">
      <pivotArea dataOnly="0" labelOnly="1" outline="0"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13B9B4-D14B-4AB4-B64B-57D62BE1A572}"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29:F30" firstHeaderRow="1" firstDataRow="1" firstDataCol="0" rowPageCount="1" colPageCount="1"/>
  <pivotFields count="10">
    <pivotField compact="0" outline="0" showAll="0"/>
    <pivotField compact="0" numFmtId="164" outline="0" showAll="0"/>
    <pivotField compact="0" outline="0" showAll="0"/>
    <pivotField axis="axisPage" compact="0" outline="0" multipleItemSelectionAllowed="1" showAll="0">
      <items count="21">
        <item x="19"/>
        <item h="1" x="10"/>
        <item x="14"/>
        <item h="1" x="1"/>
        <item h="1" x="12"/>
        <item x="8"/>
        <item x="17"/>
        <item x="11"/>
        <item x="7"/>
        <item x="0"/>
        <item x="5"/>
        <item x="9"/>
        <item x="16"/>
        <item x="2"/>
        <item x="4"/>
        <item x="13"/>
        <item x="6"/>
        <item x="3"/>
        <item x="15"/>
        <item x="18"/>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s>
  <rowItems count="1">
    <i/>
  </rowItems>
  <colItems count="1">
    <i/>
  </colItems>
  <pageFields count="1">
    <pageField fld="3" hier="-1"/>
  </pageFields>
  <dataFields count="1">
    <dataField name="Sum of Unite price" fld="8" baseField="0" baseItem="0"/>
  </dataFields>
  <formats count="3">
    <format dxfId="977">
      <pivotArea type="all" dataOnly="0" outline="0" fieldPosition="0"/>
    </format>
    <format dxfId="976">
      <pivotArea outline="0" collapsedLevelsAreSubtotals="1" fieldPosition="0"/>
    </format>
    <format dxfId="97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CA9749-BDBA-411A-866C-284342956D26}"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 name">
  <location ref="C248:D254" firstHeaderRow="1" firstDataRow="1" firstDataCol="1"/>
  <pivotFields count="5">
    <pivotField axis="axisRow" showAll="0" measureFilter="1" sortType="descending">
      <items count="21">
        <item x="7"/>
        <item x="0"/>
        <item x="17"/>
        <item x="10"/>
        <item x="1"/>
        <item x="16"/>
        <item x="14"/>
        <item x="4"/>
        <item x="9"/>
        <item x="19"/>
        <item x="11"/>
        <item x="3"/>
        <item x="15"/>
        <item x="12"/>
        <item x="6"/>
        <item x="13"/>
        <item x="18"/>
        <item x="5"/>
        <item x="8"/>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0"/>
  </rowFields>
  <rowItems count="6">
    <i>
      <x v="1"/>
    </i>
    <i>
      <x v="19"/>
    </i>
    <i>
      <x v="3"/>
    </i>
    <i>
      <x v="7"/>
    </i>
    <i>
      <x v="12"/>
    </i>
    <i t="grand">
      <x/>
    </i>
  </rowItems>
  <colItems count="1">
    <i/>
  </colItems>
  <dataFields count="1">
    <dataField name="Sum of Final amount" fld="4" baseField="0" baseItem="0"/>
  </dataFields>
  <formats count="5">
    <format dxfId="763">
      <pivotArea type="all" dataOnly="0" outline="0" fieldPosition="0"/>
    </format>
    <format dxfId="764">
      <pivotArea outline="0" collapsedLevelsAreSubtotals="1" fieldPosition="0"/>
    </format>
    <format dxfId="765">
      <pivotArea field="0" type="button" dataOnly="0" labelOnly="1" outline="0" axis="axisRow" fieldPosition="0"/>
    </format>
    <format dxfId="766">
      <pivotArea dataOnly="0" labelOnly="1" grandRow="1" outline="0" fieldPosition="0"/>
    </format>
    <format dxfId="76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90FEF9-44E9-4A33-BB90-ACB05B267FED}"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228:E232" firstHeaderRow="0" firstDataRow="1" firstDataCol="1"/>
  <pivotFields count="16">
    <pivotField showAll="0"/>
    <pivotField numFmtId="164" showAll="0"/>
    <pivotField showAll="0"/>
    <pivotField showAll="0"/>
    <pivotField showAll="0"/>
    <pivotField showAll="0"/>
    <pivotField axis="axisRow" showAll="0">
      <items count="4">
        <item x="1"/>
        <item x="0"/>
        <item x="2"/>
        <item t="default"/>
      </items>
    </pivotField>
    <pivotField dataField="1" showAll="0"/>
    <pivotField showAll="0"/>
    <pivotField showAll="0"/>
    <pivotField showAll="0"/>
    <pivotField dataField="1" showAll="0"/>
    <pivotField showAll="0"/>
    <pivotField showAll="0"/>
    <pivotField showAll="0"/>
    <pivotField showAll="0"/>
  </pivotFields>
  <rowFields count="1">
    <field x="6"/>
  </rowFields>
  <rowItems count="4">
    <i>
      <x/>
    </i>
    <i>
      <x v="1"/>
    </i>
    <i>
      <x v="2"/>
    </i>
    <i t="grand">
      <x/>
    </i>
  </rowItems>
  <colFields count="1">
    <field x="-2"/>
  </colFields>
  <colItems count="2">
    <i>
      <x/>
    </i>
    <i i="1">
      <x v="1"/>
    </i>
  </colItems>
  <dataFields count="2">
    <dataField name="Sum of Qty" fld="7" baseField="0" baseItem="0"/>
    <dataField name="Sum of Final Amount" fld="11" baseField="0" baseItem="0"/>
  </dataFields>
  <formats count="10">
    <format dxfId="787">
      <pivotArea type="all" dataOnly="0" outline="0" fieldPosition="0"/>
    </format>
    <format dxfId="786">
      <pivotArea outline="0" collapsedLevelsAreSubtotals="1" fieldPosition="0"/>
    </format>
    <format dxfId="785">
      <pivotArea field="6" type="button" dataOnly="0" labelOnly="1" outline="0" axis="axisRow" fieldPosition="0"/>
    </format>
    <format dxfId="784">
      <pivotArea dataOnly="0" labelOnly="1" fieldPosition="0">
        <references count="1">
          <reference field="6" count="0"/>
        </references>
      </pivotArea>
    </format>
    <format dxfId="783">
      <pivotArea dataOnly="0" labelOnly="1" grandRow="1" outline="0" fieldPosition="0"/>
    </format>
    <format dxfId="782">
      <pivotArea dataOnly="0" labelOnly="1" outline="0" fieldPosition="0">
        <references count="1">
          <reference field="4294967294" count="2">
            <x v="0"/>
            <x v="1"/>
          </reference>
        </references>
      </pivotArea>
    </format>
    <format dxfId="781">
      <pivotArea field="6" type="button" dataOnly="0" labelOnly="1" outline="0" axis="axisRow" fieldPosition="0"/>
    </format>
    <format dxfId="780">
      <pivotArea dataOnly="0" labelOnly="1" outline="0" fieldPosition="0">
        <references count="1">
          <reference field="4294967294" count="2">
            <x v="0"/>
            <x v="1"/>
          </reference>
        </references>
      </pivotArea>
    </format>
    <format dxfId="779">
      <pivotArea field="6" type="button" dataOnly="0" labelOnly="1" outline="0" axis="axisRow" fieldPosition="0"/>
    </format>
    <format dxfId="778">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5679D8-DB9F-44BF-85CB-BABAF8EC05AC}"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08:E214" firstHeaderRow="1" firstDataRow="1" firstDataCol="1"/>
  <pivotFields count="16">
    <pivotField showAll="0"/>
    <pivotField numFmtId="164" showAll="0"/>
    <pivotField showAll="0"/>
    <pivotField showAll="0"/>
    <pivotField showAll="0"/>
    <pivotField axis="axisRow" showAll="0">
      <items count="6">
        <item x="0"/>
        <item x="2"/>
        <item x="1"/>
        <item x="4"/>
        <item x="3"/>
        <item t="default"/>
      </items>
    </pivotField>
    <pivotField showAll="0"/>
    <pivotField showAll="0"/>
    <pivotField showAll="0"/>
    <pivotField showAll="0"/>
    <pivotField showAll="0"/>
    <pivotField dataField="1"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Final Amount" fld="11" baseField="0" baseItem="0"/>
  </dataFields>
  <formats count="10">
    <format dxfId="777">
      <pivotArea type="all" dataOnly="0" outline="0" fieldPosition="0"/>
    </format>
    <format dxfId="776">
      <pivotArea outline="0" collapsedLevelsAreSubtotals="1" fieldPosition="0"/>
    </format>
    <format dxfId="775">
      <pivotArea field="5" type="button" dataOnly="0" labelOnly="1" outline="0" axis="axisRow" fieldPosition="0"/>
    </format>
    <format dxfId="774">
      <pivotArea dataOnly="0" labelOnly="1" fieldPosition="0">
        <references count="1">
          <reference field="5" count="0"/>
        </references>
      </pivotArea>
    </format>
    <format dxfId="773">
      <pivotArea dataOnly="0" labelOnly="1" grandRow="1" outline="0" fieldPosition="0"/>
    </format>
    <format dxfId="772">
      <pivotArea dataOnly="0" labelOnly="1" outline="0" axis="axisValues" fieldPosition="0"/>
    </format>
    <format dxfId="771">
      <pivotArea field="5" type="button" dataOnly="0" labelOnly="1" outline="0" axis="axisRow" fieldPosition="0"/>
    </format>
    <format dxfId="770">
      <pivotArea dataOnly="0" labelOnly="1" outline="0" axis="axisValues" fieldPosition="0"/>
    </format>
    <format dxfId="769">
      <pivotArea field="5" type="button" dataOnly="0" labelOnly="1" outline="0" axis="axisRow" fieldPosition="0"/>
    </format>
    <format dxfId="76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BC7363-1E0E-4FF0-B6F5-E8D8B1F9D893}" name="PivotTable2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182:S203" firstHeaderRow="1" firstDataRow="1" firstDataCol="1"/>
  <pivotFields count="16">
    <pivotField showAll="0"/>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items count="3">
        <item x="0"/>
        <item x="1"/>
        <item t="default"/>
      </items>
    </pivotField>
    <pivotField showAll="0">
      <items count="6">
        <item x="0"/>
        <item x="2"/>
        <item x="1"/>
        <item x="4"/>
        <item x="3"/>
        <item t="default"/>
      </items>
    </pivotField>
    <pivotField showAll="0"/>
    <pivotField showAll="0"/>
    <pivotField showAll="0"/>
    <pivotField showAll="0"/>
    <pivotField showAll="0"/>
    <pivotField dataField="1" showAll="0"/>
    <pivotField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Final Amount" fld="11" baseField="0" baseItem="0"/>
  </dataFields>
  <formats count="16">
    <format dxfId="803">
      <pivotArea field="1" type="button" dataOnly="0" labelOnly="1" outline="0" axis="axisRow" fieldPosition="0"/>
    </format>
    <format dxfId="802">
      <pivotArea dataOnly="0" labelOnly="1" outline="0" axis="axisValues" fieldPosition="0"/>
    </format>
    <format dxfId="801">
      <pivotArea field="1" type="button" dataOnly="0" labelOnly="1" outline="0" axis="axisRow" fieldPosition="0"/>
    </format>
    <format dxfId="800">
      <pivotArea dataOnly="0" labelOnly="1" outline="0" axis="axisValues" fieldPosition="0"/>
    </format>
    <format dxfId="799">
      <pivotArea type="all" dataOnly="0" outline="0" fieldPosition="0"/>
    </format>
    <format dxfId="798">
      <pivotArea outline="0" collapsedLevelsAreSubtotals="1" fieldPosition="0"/>
    </format>
    <format dxfId="797">
      <pivotArea field="1" type="button" dataOnly="0" labelOnly="1" outline="0" axis="axisRow" fieldPosition="0"/>
    </format>
    <format dxfId="796">
      <pivotArea dataOnly="0" labelOnly="1" fieldPosition="0">
        <references count="1">
          <reference field="1" count="0"/>
        </references>
      </pivotArea>
    </format>
    <format dxfId="795">
      <pivotArea dataOnly="0" labelOnly="1" grandRow="1" outline="0" fieldPosition="0"/>
    </format>
    <format dxfId="794">
      <pivotArea dataOnly="0" labelOnly="1" outline="0" axis="axisValues" fieldPosition="0"/>
    </format>
    <format dxfId="793">
      <pivotArea type="all" dataOnly="0" outline="0" fieldPosition="0"/>
    </format>
    <format dxfId="792">
      <pivotArea outline="0" collapsedLevelsAreSubtotals="1" fieldPosition="0"/>
    </format>
    <format dxfId="791">
      <pivotArea field="1" type="button" dataOnly="0" labelOnly="1" outline="0" axis="axisRow" fieldPosition="0"/>
    </format>
    <format dxfId="790">
      <pivotArea dataOnly="0" labelOnly="1" fieldPosition="0">
        <references count="1">
          <reference field="1" count="0"/>
        </references>
      </pivotArea>
    </format>
    <format dxfId="789">
      <pivotArea dataOnly="0" labelOnly="1" grandRow="1" outline="0" fieldPosition="0"/>
    </format>
    <format dxfId="78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8C3F7F-7976-4896-9564-7937D0B70C51}" name="PivotTable3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82:F188" firstHeaderRow="1" firstDataRow="1" firstDataCol="1"/>
  <pivotFields count="16">
    <pivotField showAll="0"/>
    <pivotField numFmtId="164" showAll="0"/>
    <pivotField showAll="0"/>
    <pivotField showAll="0"/>
    <pivotField showAll="0">
      <items count="3">
        <item x="0"/>
        <item x="1"/>
        <item t="default"/>
      </items>
    </pivotField>
    <pivotField axis="axisRow" showAll="0" sortType="ascending">
      <items count="6">
        <item x="0"/>
        <item x="2"/>
        <item x="1"/>
        <item x="4"/>
        <item x="3"/>
        <item t="default"/>
      </items>
    </pivotField>
    <pivotField showAll="0">
      <items count="4">
        <item x="1"/>
        <item x="0"/>
        <item x="2"/>
        <item t="default"/>
      </items>
    </pivotField>
    <pivotField showAll="0"/>
    <pivotField showAll="0"/>
    <pivotField showAll="0"/>
    <pivotField showAll="0"/>
    <pivotField dataField="1"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Final Amount" fld="11" baseField="0" baseItem="0"/>
  </dataFields>
  <formats count="16">
    <format dxfId="819">
      <pivotArea type="all" dataOnly="0" outline="0" fieldPosition="0"/>
    </format>
    <format dxfId="818">
      <pivotArea outline="0" collapsedLevelsAreSubtotals="1" fieldPosition="0"/>
    </format>
    <format dxfId="817">
      <pivotArea field="5" type="button" dataOnly="0" labelOnly="1" outline="0" axis="axisRow" fieldPosition="0"/>
    </format>
    <format dxfId="816">
      <pivotArea dataOnly="0" labelOnly="1" fieldPosition="0">
        <references count="1">
          <reference field="5" count="0"/>
        </references>
      </pivotArea>
    </format>
    <format dxfId="815">
      <pivotArea dataOnly="0" labelOnly="1" grandRow="1" outline="0" fieldPosition="0"/>
    </format>
    <format dxfId="814">
      <pivotArea dataOnly="0" labelOnly="1" outline="0" axis="axisValues" fieldPosition="0"/>
    </format>
    <format dxfId="813">
      <pivotArea type="all" dataOnly="0" outline="0" fieldPosition="0"/>
    </format>
    <format dxfId="812">
      <pivotArea outline="0" collapsedLevelsAreSubtotals="1" fieldPosition="0"/>
    </format>
    <format dxfId="811">
      <pivotArea field="5" type="button" dataOnly="0" labelOnly="1" outline="0" axis="axisRow" fieldPosition="0"/>
    </format>
    <format dxfId="810">
      <pivotArea dataOnly="0" labelOnly="1" fieldPosition="0">
        <references count="1">
          <reference field="5" count="0"/>
        </references>
      </pivotArea>
    </format>
    <format dxfId="809">
      <pivotArea dataOnly="0" labelOnly="1" grandRow="1" outline="0" fieldPosition="0"/>
    </format>
    <format dxfId="808">
      <pivotArea dataOnly="0" labelOnly="1" outline="0" axis="axisValues" fieldPosition="0"/>
    </format>
    <format dxfId="807">
      <pivotArea field="5" type="button" dataOnly="0" labelOnly="1" outline="0" axis="axisRow" fieldPosition="0"/>
    </format>
    <format dxfId="806">
      <pivotArea dataOnly="0" labelOnly="1" outline="0" axis="axisValues" fieldPosition="0"/>
    </format>
    <format dxfId="805">
      <pivotArea field="5" type="button" dataOnly="0" labelOnly="1" outline="0" axis="axisRow" fieldPosition="0"/>
    </format>
    <format dxfId="804">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5" count="1" selected="0">
            <x v="0"/>
          </reference>
        </references>
      </pivotArea>
    </chartFormat>
    <chartFormat chart="4" format="9">
      <pivotArea type="data" outline="0" fieldPosition="0">
        <references count="2">
          <reference field="4294967294" count="1" selected="0">
            <x v="0"/>
          </reference>
          <reference field="5" count="1" selected="0">
            <x v="1"/>
          </reference>
        </references>
      </pivotArea>
    </chartFormat>
    <chartFormat chart="4" format="10">
      <pivotArea type="data" outline="0" fieldPosition="0">
        <references count="2">
          <reference field="4294967294" count="1" selected="0">
            <x v="0"/>
          </reference>
          <reference field="5" count="1" selected="0">
            <x v="2"/>
          </reference>
        </references>
      </pivotArea>
    </chartFormat>
    <chartFormat chart="4" format="11">
      <pivotArea type="data" outline="0" fieldPosition="0">
        <references count="2">
          <reference field="4294967294" count="1" selected="0">
            <x v="0"/>
          </reference>
          <reference field="5" count="1" selected="0">
            <x v="3"/>
          </reference>
        </references>
      </pivotArea>
    </chartFormat>
    <chartFormat chart="4" format="12">
      <pivotArea type="data" outline="0" fieldPosition="0">
        <references count="2">
          <reference field="4294967294" count="1" selected="0">
            <x v="0"/>
          </reference>
          <reference field="5"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AB2FE1-4249-43AC-AF9B-DF1F3F3A110D}" name="PivotTable2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182:P188" firstHeaderRow="0" firstDataRow="1" firstDataCol="1"/>
  <pivotFields count="16">
    <pivotField showAll="0"/>
    <pivotField numFmtId="164" showAll="0"/>
    <pivotField showAll="0"/>
    <pivotField axis="axisRow" showAll="0">
      <items count="21">
        <item h="1" x="19"/>
        <item x="10"/>
        <item h="1" x="14"/>
        <item h="1" x="1"/>
        <item h="1" x="12"/>
        <item h="1" x="8"/>
        <item h="1" x="17"/>
        <item h="1" x="11"/>
        <item h="1" x="7"/>
        <item x="0"/>
        <item h="1" x="5"/>
        <item h="1" x="9"/>
        <item h="1" x="16"/>
        <item x="2"/>
        <item x="4"/>
        <item h="1" x="13"/>
        <item h="1" x="6"/>
        <item h="1" x="3"/>
        <item x="15"/>
        <item h="1" x="18"/>
        <item t="default"/>
      </items>
    </pivotField>
    <pivotField showAll="0">
      <items count="3">
        <item x="0"/>
        <item x="1"/>
        <item t="default"/>
      </items>
    </pivotField>
    <pivotField showAll="0">
      <items count="6">
        <item x="0"/>
        <item x="2"/>
        <item x="1"/>
        <item x="4"/>
        <item x="3"/>
        <item t="default"/>
      </items>
    </pivotField>
    <pivotField showAll="0">
      <items count="4">
        <item x="1"/>
        <item x="0"/>
        <item x="2"/>
        <item t="default"/>
      </items>
    </pivotField>
    <pivotField dataField="1" showAll="0"/>
    <pivotField showAll="0"/>
    <pivotField showAll="0"/>
    <pivotField showAll="0"/>
    <pivotField dataField="1" showAll="0"/>
    <pivotField showAll="0"/>
    <pivotField showAll="0"/>
    <pivotField showAll="0"/>
    <pivotField showAll="0"/>
  </pivotFields>
  <rowFields count="1">
    <field x="3"/>
  </rowFields>
  <rowItems count="6">
    <i>
      <x v="1"/>
    </i>
    <i>
      <x v="9"/>
    </i>
    <i>
      <x v="13"/>
    </i>
    <i>
      <x v="14"/>
    </i>
    <i>
      <x v="18"/>
    </i>
    <i t="grand">
      <x/>
    </i>
  </rowItems>
  <colFields count="1">
    <field x="-2"/>
  </colFields>
  <colItems count="2">
    <i>
      <x/>
    </i>
    <i i="1">
      <x v="1"/>
    </i>
  </colItems>
  <dataFields count="2">
    <dataField name="Sum of Final Amount" fld="11" baseField="0" baseItem="0"/>
    <dataField name="Sum of Qty" fld="7" baseField="0" baseItem="0"/>
  </dataFields>
  <formats count="16">
    <format dxfId="835">
      <pivotArea type="all" dataOnly="0" outline="0" fieldPosition="0"/>
    </format>
    <format dxfId="834">
      <pivotArea outline="0" collapsedLevelsAreSubtotals="1" fieldPosition="0"/>
    </format>
    <format dxfId="833">
      <pivotArea field="3" type="button" dataOnly="0" labelOnly="1" outline="0" axis="axisRow" fieldPosition="0"/>
    </format>
    <format dxfId="832">
      <pivotArea dataOnly="0" labelOnly="1" fieldPosition="0">
        <references count="1">
          <reference field="3" count="0"/>
        </references>
      </pivotArea>
    </format>
    <format dxfId="831">
      <pivotArea dataOnly="0" labelOnly="1" grandRow="1" outline="0" fieldPosition="0"/>
    </format>
    <format dxfId="830">
      <pivotArea dataOnly="0" labelOnly="1" outline="0" fieldPosition="0">
        <references count="1">
          <reference field="4294967294" count="2">
            <x v="0"/>
            <x v="1"/>
          </reference>
        </references>
      </pivotArea>
    </format>
    <format dxfId="829">
      <pivotArea field="3" type="button" dataOnly="0" labelOnly="1" outline="0" axis="axisRow" fieldPosition="0"/>
    </format>
    <format dxfId="828">
      <pivotArea dataOnly="0" labelOnly="1" outline="0" fieldPosition="0">
        <references count="1">
          <reference field="4294967294" count="2">
            <x v="0"/>
            <x v="1"/>
          </reference>
        </references>
      </pivotArea>
    </format>
    <format dxfId="827">
      <pivotArea field="3" type="button" dataOnly="0" labelOnly="1" outline="0" axis="axisRow" fieldPosition="0"/>
    </format>
    <format dxfId="826">
      <pivotArea dataOnly="0" labelOnly="1" outline="0" fieldPosition="0">
        <references count="1">
          <reference field="4294967294" count="2">
            <x v="0"/>
            <x v="1"/>
          </reference>
        </references>
      </pivotArea>
    </format>
    <format dxfId="825">
      <pivotArea type="all" dataOnly="0" outline="0" fieldPosition="0"/>
    </format>
    <format dxfId="824">
      <pivotArea outline="0" collapsedLevelsAreSubtotals="1" fieldPosition="0"/>
    </format>
    <format dxfId="823">
      <pivotArea field="3" type="button" dataOnly="0" labelOnly="1" outline="0" axis="axisRow" fieldPosition="0"/>
    </format>
    <format dxfId="822">
      <pivotArea dataOnly="0" labelOnly="1" fieldPosition="0">
        <references count="1">
          <reference field="3" count="0"/>
        </references>
      </pivotArea>
    </format>
    <format dxfId="821">
      <pivotArea dataOnly="0" labelOnly="1" grandRow="1" outline="0" fieldPosition="0"/>
    </format>
    <format dxfId="820">
      <pivotArea dataOnly="0" labelOnly="1" outline="0" fieldPosition="0">
        <references count="1">
          <reference field="4294967294" count="2">
            <x v="0"/>
            <x v="1"/>
          </reference>
        </references>
      </pivotArea>
    </format>
  </formats>
  <chartFormats count="1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3" count="1" selected="0">
            <x v="1"/>
          </reference>
        </references>
      </pivotArea>
    </chartFormat>
    <chartFormat chart="3" format="16">
      <pivotArea type="data" outline="0" fieldPosition="0">
        <references count="2">
          <reference field="4294967294" count="1" selected="0">
            <x v="0"/>
          </reference>
          <reference field="3" count="1" selected="0">
            <x v="9"/>
          </reference>
        </references>
      </pivotArea>
    </chartFormat>
    <chartFormat chart="3" format="17">
      <pivotArea type="data" outline="0" fieldPosition="0">
        <references count="2">
          <reference field="4294967294" count="1" selected="0">
            <x v="0"/>
          </reference>
          <reference field="3" count="1" selected="0">
            <x v="13"/>
          </reference>
        </references>
      </pivotArea>
    </chartFormat>
    <chartFormat chart="3" format="18">
      <pivotArea type="data" outline="0" fieldPosition="0">
        <references count="2">
          <reference field="4294967294" count="1" selected="0">
            <x v="0"/>
          </reference>
          <reference field="3" count="1" selected="0">
            <x v="14"/>
          </reference>
        </references>
      </pivotArea>
    </chartFormat>
    <chartFormat chart="3" format="19">
      <pivotArea type="data" outline="0" fieldPosition="0">
        <references count="2">
          <reference field="4294967294" count="1" selected="0">
            <x v="0"/>
          </reference>
          <reference field="3" count="1" selected="0">
            <x v="18"/>
          </reference>
        </references>
      </pivotArea>
    </chartFormat>
    <chartFormat chart="3" format="20" series="1">
      <pivotArea type="data" outline="0" fieldPosition="0">
        <references count="1">
          <reference field="4294967294" count="1" selected="0">
            <x v="1"/>
          </reference>
        </references>
      </pivotArea>
    </chartFormat>
    <chartFormat chart="3" format="21">
      <pivotArea type="data" outline="0" fieldPosition="0">
        <references count="2">
          <reference field="4294967294" count="1" selected="0">
            <x v="1"/>
          </reference>
          <reference field="3" count="1" selected="0">
            <x v="1"/>
          </reference>
        </references>
      </pivotArea>
    </chartFormat>
    <chartFormat chart="3" format="22">
      <pivotArea type="data" outline="0" fieldPosition="0">
        <references count="2">
          <reference field="4294967294" count="1" selected="0">
            <x v="1"/>
          </reference>
          <reference field="3" count="1" selected="0">
            <x v="9"/>
          </reference>
        </references>
      </pivotArea>
    </chartFormat>
    <chartFormat chart="3" format="23">
      <pivotArea type="data" outline="0" fieldPosition="0">
        <references count="2">
          <reference field="4294967294" count="1" selected="0">
            <x v="1"/>
          </reference>
          <reference field="3" count="1" selected="0">
            <x v="13"/>
          </reference>
        </references>
      </pivotArea>
    </chartFormat>
    <chartFormat chart="3" format="24">
      <pivotArea type="data" outline="0" fieldPosition="0">
        <references count="2">
          <reference field="4294967294" count="1" selected="0">
            <x v="1"/>
          </reference>
          <reference field="3" count="1" selected="0">
            <x v="14"/>
          </reference>
        </references>
      </pivotArea>
    </chartFormat>
    <chartFormat chart="3" format="25">
      <pivotArea type="data" outline="0" fieldPosition="0">
        <references count="2">
          <reference field="4294967294" count="1" selected="0">
            <x v="1"/>
          </reference>
          <reference field="3" count="1" selected="0">
            <x v="18"/>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D73591-CACD-43AA-AC5D-DCED9A47363E}" name="PivotTable7"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D43:E64" firstHeaderRow="1" firstDataRow="1" firstDataCol="1"/>
  <pivotFields count="16">
    <pivotField compact="0" outline="0" showAll="0"/>
    <pivotField compact="0" numFmtId="164" outline="0" showAll="0"/>
    <pivotField compact="0" outline="0" showAll="0"/>
    <pivotField axis="axisRow" compact="0" outline="0" showAll="0">
      <items count="21">
        <item x="19"/>
        <item x="10"/>
        <item x="14"/>
        <item x="1"/>
        <item x="12"/>
        <item x="8"/>
        <item x="17"/>
        <item x="11"/>
        <item x="7"/>
        <item x="0"/>
        <item x="5"/>
        <item x="9"/>
        <item x="16"/>
        <item x="2"/>
        <item x="4"/>
        <item x="13"/>
        <item x="6"/>
        <item x="3"/>
        <item x="15"/>
        <item x="18"/>
        <item t="default"/>
      </items>
    </pivotField>
    <pivotField compact="0" outline="0" showAll="0">
      <items count="3">
        <item x="0"/>
        <item x="1"/>
        <item t="default"/>
      </items>
    </pivotField>
    <pivotField compact="0" outline="0" showAll="0">
      <items count="6">
        <item x="0"/>
        <item x="2"/>
        <item x="1"/>
        <item x="4"/>
        <item x="3"/>
        <item t="default"/>
      </items>
    </pivotField>
    <pivotField compact="0" outline="0" showAll="0">
      <items count="4">
        <item x="1"/>
        <item x="0"/>
        <item x="2"/>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Qty" fld="7" baseField="0" baseItem="0"/>
  </dataFields>
  <formats count="16">
    <format dxfId="851">
      <pivotArea type="all" dataOnly="0" outline="0" fieldPosition="0"/>
    </format>
    <format dxfId="850">
      <pivotArea outline="0" collapsedLevelsAreSubtotals="1" fieldPosition="0"/>
    </format>
    <format dxfId="849">
      <pivotArea field="3" type="button" dataOnly="0" labelOnly="1" outline="0" axis="axisRow" fieldPosition="0"/>
    </format>
    <format dxfId="848">
      <pivotArea dataOnly="0" labelOnly="1" outline="0" fieldPosition="0">
        <references count="1">
          <reference field="3" count="0"/>
        </references>
      </pivotArea>
    </format>
    <format dxfId="847">
      <pivotArea dataOnly="0" labelOnly="1" grandRow="1" outline="0" fieldPosition="0"/>
    </format>
    <format dxfId="846">
      <pivotArea dataOnly="0" labelOnly="1" outline="0" axis="axisValues" fieldPosition="0"/>
    </format>
    <format dxfId="845">
      <pivotArea type="all" dataOnly="0" outline="0" fieldPosition="0"/>
    </format>
    <format dxfId="844">
      <pivotArea outline="0" collapsedLevelsAreSubtotals="1" fieldPosition="0"/>
    </format>
    <format dxfId="843">
      <pivotArea field="3" type="button" dataOnly="0" labelOnly="1" outline="0" axis="axisRow" fieldPosition="0"/>
    </format>
    <format dxfId="842">
      <pivotArea dataOnly="0" labelOnly="1" outline="0" fieldPosition="0">
        <references count="1">
          <reference field="3" count="0"/>
        </references>
      </pivotArea>
    </format>
    <format dxfId="841">
      <pivotArea dataOnly="0" labelOnly="1" grandRow="1" outline="0" fieldPosition="0"/>
    </format>
    <format dxfId="840">
      <pivotArea dataOnly="0" labelOnly="1" outline="0" axis="axisValues" fieldPosition="0"/>
    </format>
    <format dxfId="839">
      <pivotArea field="3" type="button" dataOnly="0" labelOnly="1" outline="0" axis="axisRow" fieldPosition="0"/>
    </format>
    <format dxfId="838">
      <pivotArea dataOnly="0" labelOnly="1" outline="0" axis="axisValues" fieldPosition="0"/>
    </format>
    <format dxfId="837">
      <pivotArea field="3" type="button" dataOnly="0" labelOnly="1" outline="0" axis="axisRow" fieldPosition="0"/>
    </format>
    <format dxfId="836">
      <pivotArea dataOnly="0" labelOnly="1" outline="0" axis="axisValues" fieldPosition="0"/>
    </format>
  </formats>
  <chartFormats count="2">
    <chartFormat chart="0"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049448-D00D-47A6-95A9-C46DA101E5C4}" name="PivotTable14"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D124:F145" firstHeaderRow="0" firstDataRow="1" firstDataCol="1"/>
  <pivotFields count="16">
    <pivotField compact="0" outline="0" showAll="0"/>
    <pivotField compact="0" numFmtId="164" outline="0" showAll="0"/>
    <pivotField compact="0" outline="0" showAll="0"/>
    <pivotField axis="axisRow" compact="0" outline="0" showAll="0">
      <items count="21">
        <item x="19"/>
        <item x="10"/>
        <item x="14"/>
        <item x="1"/>
        <item x="12"/>
        <item x="8"/>
        <item x="17"/>
        <item x="11"/>
        <item x="7"/>
        <item x="0"/>
        <item x="5"/>
        <item x="9"/>
        <item x="16"/>
        <item x="2"/>
        <item x="4"/>
        <item x="13"/>
        <item x="6"/>
        <item x="3"/>
        <item x="15"/>
        <item x="18"/>
        <item t="default"/>
      </items>
    </pivotField>
    <pivotField compact="0" outline="0" showAll="0">
      <items count="3">
        <item x="0"/>
        <item x="1"/>
        <item t="default"/>
      </items>
    </pivotField>
    <pivotField compact="0" outline="0" showAll="0">
      <items count="6">
        <item x="0"/>
        <item x="2"/>
        <item x="1"/>
        <item x="4"/>
        <item x="3"/>
        <item t="default"/>
      </items>
    </pivotField>
    <pivotField compact="0" outline="0" showAll="0">
      <items count="4">
        <item x="1"/>
        <item x="0"/>
        <item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dataField="1" compact="0" outline="0"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GST" fld="15" baseField="0" baseItem="0"/>
    <dataField name="Sum of Final Amount" fld="11" baseField="0" baseItem="0"/>
  </dataFields>
  <formats count="16">
    <format dxfId="867">
      <pivotArea type="all" dataOnly="0" outline="0" fieldPosition="0"/>
    </format>
    <format dxfId="866">
      <pivotArea outline="0" collapsedLevelsAreSubtotals="1" fieldPosition="0"/>
    </format>
    <format dxfId="865">
      <pivotArea field="3" type="button" dataOnly="0" labelOnly="1" outline="0" axis="axisRow" fieldPosition="0"/>
    </format>
    <format dxfId="864">
      <pivotArea dataOnly="0" labelOnly="1" outline="0" fieldPosition="0">
        <references count="1">
          <reference field="3" count="0"/>
        </references>
      </pivotArea>
    </format>
    <format dxfId="863">
      <pivotArea dataOnly="0" labelOnly="1" grandRow="1" outline="0" fieldPosition="0"/>
    </format>
    <format dxfId="862">
      <pivotArea dataOnly="0" labelOnly="1" outline="0" fieldPosition="0">
        <references count="1">
          <reference field="4294967294" count="2">
            <x v="0"/>
            <x v="1"/>
          </reference>
        </references>
      </pivotArea>
    </format>
    <format dxfId="861">
      <pivotArea field="3" type="button" dataOnly="0" labelOnly="1" outline="0" axis="axisRow" fieldPosition="0"/>
    </format>
    <format dxfId="860">
      <pivotArea dataOnly="0" labelOnly="1" outline="0" fieldPosition="0">
        <references count="1">
          <reference field="4294967294" count="2">
            <x v="0"/>
            <x v="1"/>
          </reference>
        </references>
      </pivotArea>
    </format>
    <format dxfId="859">
      <pivotArea field="3" type="button" dataOnly="0" labelOnly="1" outline="0" axis="axisRow" fieldPosition="0"/>
    </format>
    <format dxfId="858">
      <pivotArea dataOnly="0" labelOnly="1" outline="0" fieldPosition="0">
        <references count="1">
          <reference field="4294967294" count="2">
            <x v="0"/>
            <x v="1"/>
          </reference>
        </references>
      </pivotArea>
    </format>
    <format dxfId="857">
      <pivotArea type="all" dataOnly="0" outline="0" fieldPosition="0"/>
    </format>
    <format dxfId="856">
      <pivotArea outline="0" collapsedLevelsAreSubtotals="1" fieldPosition="0"/>
    </format>
    <format dxfId="855">
      <pivotArea field="3" type="button" dataOnly="0" labelOnly="1" outline="0" axis="axisRow" fieldPosition="0"/>
    </format>
    <format dxfId="854">
      <pivotArea dataOnly="0" labelOnly="1" outline="0" fieldPosition="0">
        <references count="1">
          <reference field="3" count="0"/>
        </references>
      </pivotArea>
    </format>
    <format dxfId="853">
      <pivotArea dataOnly="0" labelOnly="1" grandRow="1" outline="0" fieldPosition="0"/>
    </format>
    <format dxfId="852">
      <pivotArea dataOnly="0" labelOnly="1" outline="0" fieldPosition="0">
        <references count="1">
          <reference field="4294967294" count="2">
            <x v="0"/>
            <x v="1"/>
          </reference>
        </references>
      </pivotArea>
    </format>
  </formats>
  <chartFormats count="4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4" series="1">
      <pivotArea type="data" outline="0" fieldPosition="0">
        <references count="1">
          <reference field="4294967294" count="1" selected="0">
            <x v="0"/>
          </reference>
        </references>
      </pivotArea>
    </chartFormat>
    <chartFormat chart="4" format="45">
      <pivotArea type="data" outline="0" fieldPosition="0">
        <references count="2">
          <reference field="4294967294" count="1" selected="0">
            <x v="0"/>
          </reference>
          <reference field="3" count="1" selected="0">
            <x v="0"/>
          </reference>
        </references>
      </pivotArea>
    </chartFormat>
    <chartFormat chart="4" format="46">
      <pivotArea type="data" outline="0" fieldPosition="0">
        <references count="2">
          <reference field="4294967294" count="1" selected="0">
            <x v="0"/>
          </reference>
          <reference field="3" count="1" selected="0">
            <x v="1"/>
          </reference>
        </references>
      </pivotArea>
    </chartFormat>
    <chartFormat chart="4" format="47">
      <pivotArea type="data" outline="0" fieldPosition="0">
        <references count="2">
          <reference field="4294967294" count="1" selected="0">
            <x v="0"/>
          </reference>
          <reference field="3" count="1" selected="0">
            <x v="2"/>
          </reference>
        </references>
      </pivotArea>
    </chartFormat>
    <chartFormat chart="4" format="48">
      <pivotArea type="data" outline="0" fieldPosition="0">
        <references count="2">
          <reference field="4294967294" count="1" selected="0">
            <x v="0"/>
          </reference>
          <reference field="3" count="1" selected="0">
            <x v="3"/>
          </reference>
        </references>
      </pivotArea>
    </chartFormat>
    <chartFormat chart="4" format="49">
      <pivotArea type="data" outline="0" fieldPosition="0">
        <references count="2">
          <reference field="4294967294" count="1" selected="0">
            <x v="0"/>
          </reference>
          <reference field="3" count="1" selected="0">
            <x v="4"/>
          </reference>
        </references>
      </pivotArea>
    </chartFormat>
    <chartFormat chart="4" format="50">
      <pivotArea type="data" outline="0" fieldPosition="0">
        <references count="2">
          <reference field="4294967294" count="1" selected="0">
            <x v="0"/>
          </reference>
          <reference field="3" count="1" selected="0">
            <x v="5"/>
          </reference>
        </references>
      </pivotArea>
    </chartFormat>
    <chartFormat chart="4" format="51">
      <pivotArea type="data" outline="0" fieldPosition="0">
        <references count="2">
          <reference field="4294967294" count="1" selected="0">
            <x v="0"/>
          </reference>
          <reference field="3" count="1" selected="0">
            <x v="6"/>
          </reference>
        </references>
      </pivotArea>
    </chartFormat>
    <chartFormat chart="4" format="52">
      <pivotArea type="data" outline="0" fieldPosition="0">
        <references count="2">
          <reference field="4294967294" count="1" selected="0">
            <x v="0"/>
          </reference>
          <reference field="3" count="1" selected="0">
            <x v="7"/>
          </reference>
        </references>
      </pivotArea>
    </chartFormat>
    <chartFormat chart="4" format="53">
      <pivotArea type="data" outline="0" fieldPosition="0">
        <references count="2">
          <reference field="4294967294" count="1" selected="0">
            <x v="0"/>
          </reference>
          <reference field="3" count="1" selected="0">
            <x v="8"/>
          </reference>
        </references>
      </pivotArea>
    </chartFormat>
    <chartFormat chart="4" format="54">
      <pivotArea type="data" outline="0" fieldPosition="0">
        <references count="2">
          <reference field="4294967294" count="1" selected="0">
            <x v="0"/>
          </reference>
          <reference field="3" count="1" selected="0">
            <x v="9"/>
          </reference>
        </references>
      </pivotArea>
    </chartFormat>
    <chartFormat chart="4" format="55">
      <pivotArea type="data" outline="0" fieldPosition="0">
        <references count="2">
          <reference field="4294967294" count="1" selected="0">
            <x v="0"/>
          </reference>
          <reference field="3" count="1" selected="0">
            <x v="10"/>
          </reference>
        </references>
      </pivotArea>
    </chartFormat>
    <chartFormat chart="4" format="56">
      <pivotArea type="data" outline="0" fieldPosition="0">
        <references count="2">
          <reference field="4294967294" count="1" selected="0">
            <x v="0"/>
          </reference>
          <reference field="3" count="1" selected="0">
            <x v="11"/>
          </reference>
        </references>
      </pivotArea>
    </chartFormat>
    <chartFormat chart="4" format="57">
      <pivotArea type="data" outline="0" fieldPosition="0">
        <references count="2">
          <reference field="4294967294" count="1" selected="0">
            <x v="0"/>
          </reference>
          <reference field="3" count="1" selected="0">
            <x v="12"/>
          </reference>
        </references>
      </pivotArea>
    </chartFormat>
    <chartFormat chart="4" format="58">
      <pivotArea type="data" outline="0" fieldPosition="0">
        <references count="2">
          <reference field="4294967294" count="1" selected="0">
            <x v="0"/>
          </reference>
          <reference field="3" count="1" selected="0">
            <x v="13"/>
          </reference>
        </references>
      </pivotArea>
    </chartFormat>
    <chartFormat chart="4" format="59">
      <pivotArea type="data" outline="0" fieldPosition="0">
        <references count="2">
          <reference field="4294967294" count="1" selected="0">
            <x v="0"/>
          </reference>
          <reference field="3" count="1" selected="0">
            <x v="14"/>
          </reference>
        </references>
      </pivotArea>
    </chartFormat>
    <chartFormat chart="4" format="60">
      <pivotArea type="data" outline="0" fieldPosition="0">
        <references count="2">
          <reference field="4294967294" count="1" selected="0">
            <x v="0"/>
          </reference>
          <reference field="3" count="1" selected="0">
            <x v="15"/>
          </reference>
        </references>
      </pivotArea>
    </chartFormat>
    <chartFormat chart="4" format="61">
      <pivotArea type="data" outline="0" fieldPosition="0">
        <references count="2">
          <reference field="4294967294" count="1" selected="0">
            <x v="0"/>
          </reference>
          <reference field="3" count="1" selected="0">
            <x v="16"/>
          </reference>
        </references>
      </pivotArea>
    </chartFormat>
    <chartFormat chart="4" format="62">
      <pivotArea type="data" outline="0" fieldPosition="0">
        <references count="2">
          <reference field="4294967294" count="1" selected="0">
            <x v="0"/>
          </reference>
          <reference field="3" count="1" selected="0">
            <x v="17"/>
          </reference>
        </references>
      </pivotArea>
    </chartFormat>
    <chartFormat chart="4" format="63">
      <pivotArea type="data" outline="0" fieldPosition="0">
        <references count="2">
          <reference field="4294967294" count="1" selected="0">
            <x v="0"/>
          </reference>
          <reference field="3" count="1" selected="0">
            <x v="18"/>
          </reference>
        </references>
      </pivotArea>
    </chartFormat>
    <chartFormat chart="4" format="64">
      <pivotArea type="data" outline="0" fieldPosition="0">
        <references count="2">
          <reference field="4294967294" count="1" selected="0">
            <x v="0"/>
          </reference>
          <reference field="3" count="1" selected="0">
            <x v="19"/>
          </reference>
        </references>
      </pivotArea>
    </chartFormat>
    <chartFormat chart="4" format="65" series="1">
      <pivotArea type="data" outline="0" fieldPosition="0">
        <references count="1">
          <reference field="4294967294" count="1" selected="0">
            <x v="1"/>
          </reference>
        </references>
      </pivotArea>
    </chartFormat>
    <chartFormat chart="4" format="66">
      <pivotArea type="data" outline="0" fieldPosition="0">
        <references count="2">
          <reference field="4294967294" count="1" selected="0">
            <x v="1"/>
          </reference>
          <reference field="3" count="1" selected="0">
            <x v="0"/>
          </reference>
        </references>
      </pivotArea>
    </chartFormat>
    <chartFormat chart="4" format="67">
      <pivotArea type="data" outline="0" fieldPosition="0">
        <references count="2">
          <reference field="4294967294" count="1" selected="0">
            <x v="1"/>
          </reference>
          <reference field="3" count="1" selected="0">
            <x v="1"/>
          </reference>
        </references>
      </pivotArea>
    </chartFormat>
    <chartFormat chart="4" format="68">
      <pivotArea type="data" outline="0" fieldPosition="0">
        <references count="2">
          <reference field="4294967294" count="1" selected="0">
            <x v="1"/>
          </reference>
          <reference field="3" count="1" selected="0">
            <x v="2"/>
          </reference>
        </references>
      </pivotArea>
    </chartFormat>
    <chartFormat chart="4" format="69">
      <pivotArea type="data" outline="0" fieldPosition="0">
        <references count="2">
          <reference field="4294967294" count="1" selected="0">
            <x v="1"/>
          </reference>
          <reference field="3" count="1" selected="0">
            <x v="3"/>
          </reference>
        </references>
      </pivotArea>
    </chartFormat>
    <chartFormat chart="4" format="70">
      <pivotArea type="data" outline="0" fieldPosition="0">
        <references count="2">
          <reference field="4294967294" count="1" selected="0">
            <x v="1"/>
          </reference>
          <reference field="3" count="1" selected="0">
            <x v="4"/>
          </reference>
        </references>
      </pivotArea>
    </chartFormat>
    <chartFormat chart="4" format="71">
      <pivotArea type="data" outline="0" fieldPosition="0">
        <references count="2">
          <reference field="4294967294" count="1" selected="0">
            <x v="1"/>
          </reference>
          <reference field="3" count="1" selected="0">
            <x v="5"/>
          </reference>
        </references>
      </pivotArea>
    </chartFormat>
    <chartFormat chart="4" format="72">
      <pivotArea type="data" outline="0" fieldPosition="0">
        <references count="2">
          <reference field="4294967294" count="1" selected="0">
            <x v="1"/>
          </reference>
          <reference field="3" count="1" selected="0">
            <x v="6"/>
          </reference>
        </references>
      </pivotArea>
    </chartFormat>
    <chartFormat chart="4" format="73">
      <pivotArea type="data" outline="0" fieldPosition="0">
        <references count="2">
          <reference field="4294967294" count="1" selected="0">
            <x v="1"/>
          </reference>
          <reference field="3" count="1" selected="0">
            <x v="7"/>
          </reference>
        </references>
      </pivotArea>
    </chartFormat>
    <chartFormat chart="4" format="74">
      <pivotArea type="data" outline="0" fieldPosition="0">
        <references count="2">
          <reference field="4294967294" count="1" selected="0">
            <x v="1"/>
          </reference>
          <reference field="3" count="1" selected="0">
            <x v="8"/>
          </reference>
        </references>
      </pivotArea>
    </chartFormat>
    <chartFormat chart="4" format="75">
      <pivotArea type="data" outline="0" fieldPosition="0">
        <references count="2">
          <reference field="4294967294" count="1" selected="0">
            <x v="1"/>
          </reference>
          <reference field="3" count="1" selected="0">
            <x v="9"/>
          </reference>
        </references>
      </pivotArea>
    </chartFormat>
    <chartFormat chart="4" format="76">
      <pivotArea type="data" outline="0" fieldPosition="0">
        <references count="2">
          <reference field="4294967294" count="1" selected="0">
            <x v="1"/>
          </reference>
          <reference field="3" count="1" selected="0">
            <x v="10"/>
          </reference>
        </references>
      </pivotArea>
    </chartFormat>
    <chartFormat chart="4" format="77">
      <pivotArea type="data" outline="0" fieldPosition="0">
        <references count="2">
          <reference field="4294967294" count="1" selected="0">
            <x v="1"/>
          </reference>
          <reference field="3" count="1" selected="0">
            <x v="11"/>
          </reference>
        </references>
      </pivotArea>
    </chartFormat>
    <chartFormat chart="4" format="78">
      <pivotArea type="data" outline="0" fieldPosition="0">
        <references count="2">
          <reference field="4294967294" count="1" selected="0">
            <x v="1"/>
          </reference>
          <reference field="3" count="1" selected="0">
            <x v="12"/>
          </reference>
        </references>
      </pivotArea>
    </chartFormat>
    <chartFormat chart="4" format="79">
      <pivotArea type="data" outline="0" fieldPosition="0">
        <references count="2">
          <reference field="4294967294" count="1" selected="0">
            <x v="1"/>
          </reference>
          <reference field="3" count="1" selected="0">
            <x v="13"/>
          </reference>
        </references>
      </pivotArea>
    </chartFormat>
    <chartFormat chart="4" format="80">
      <pivotArea type="data" outline="0" fieldPosition="0">
        <references count="2">
          <reference field="4294967294" count="1" selected="0">
            <x v="1"/>
          </reference>
          <reference field="3" count="1" selected="0">
            <x v="14"/>
          </reference>
        </references>
      </pivotArea>
    </chartFormat>
    <chartFormat chart="4" format="81">
      <pivotArea type="data" outline="0" fieldPosition="0">
        <references count="2">
          <reference field="4294967294" count="1" selected="0">
            <x v="1"/>
          </reference>
          <reference field="3" count="1" selected="0">
            <x v="15"/>
          </reference>
        </references>
      </pivotArea>
    </chartFormat>
    <chartFormat chart="4" format="82">
      <pivotArea type="data" outline="0" fieldPosition="0">
        <references count="2">
          <reference field="4294967294" count="1" selected="0">
            <x v="1"/>
          </reference>
          <reference field="3" count="1" selected="0">
            <x v="16"/>
          </reference>
        </references>
      </pivotArea>
    </chartFormat>
    <chartFormat chart="4" format="83">
      <pivotArea type="data" outline="0" fieldPosition="0">
        <references count="2">
          <reference field="4294967294" count="1" selected="0">
            <x v="1"/>
          </reference>
          <reference field="3" count="1" selected="0">
            <x v="17"/>
          </reference>
        </references>
      </pivotArea>
    </chartFormat>
    <chartFormat chart="4" format="84">
      <pivotArea type="data" outline="0" fieldPosition="0">
        <references count="2">
          <reference field="4294967294" count="1" selected="0">
            <x v="1"/>
          </reference>
          <reference field="3" count="1" selected="0">
            <x v="18"/>
          </reference>
        </references>
      </pivotArea>
    </chartFormat>
    <chartFormat chart="4" format="85">
      <pivotArea type="data" outline="0" fieldPosition="0">
        <references count="2">
          <reference field="4294967294" count="1" selected="0">
            <x v="1"/>
          </reference>
          <reference field="3"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2E8151-6812-42C4-93B8-4EA4A09AFABF}" name="PivotTable2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182:J185" firstHeaderRow="1" firstDataRow="1" firstDataCol="1"/>
  <pivotFields count="16">
    <pivotField showAll="0"/>
    <pivotField numFmtId="164" showAll="0"/>
    <pivotField showAll="0"/>
    <pivotField showAll="0"/>
    <pivotField axis="axisRow" showAll="0">
      <items count="3">
        <item x="0"/>
        <item x="1"/>
        <item t="default"/>
      </items>
    </pivotField>
    <pivotField showAll="0">
      <items count="6">
        <item x="0"/>
        <item x="2"/>
        <item x="1"/>
        <item x="4"/>
        <item x="3"/>
        <item t="default"/>
      </items>
    </pivotField>
    <pivotField showAll="0">
      <items count="4">
        <item x="1"/>
        <item x="0"/>
        <item x="2"/>
        <item t="default"/>
      </items>
    </pivotField>
    <pivotField showAll="0"/>
    <pivotField showAll="0"/>
    <pivotField showAll="0"/>
    <pivotField showAll="0"/>
    <pivotField dataField="1" showAll="0"/>
    <pivotField showAll="0"/>
    <pivotField showAll="0"/>
    <pivotField showAll="0"/>
    <pivotField showAll="0"/>
  </pivotFields>
  <rowFields count="1">
    <field x="4"/>
  </rowFields>
  <rowItems count="3">
    <i>
      <x/>
    </i>
    <i>
      <x v="1"/>
    </i>
    <i t="grand">
      <x/>
    </i>
  </rowItems>
  <colItems count="1">
    <i/>
  </colItems>
  <dataFields count="1">
    <dataField name="Sum of Final Amount" fld="11" baseField="0" baseItem="0"/>
  </dataFields>
  <formats count="12">
    <format dxfId="879">
      <pivotArea type="all" dataOnly="0" outline="0" fieldPosition="0"/>
    </format>
    <format dxfId="878">
      <pivotArea outline="0" collapsedLevelsAreSubtotals="1" fieldPosition="0"/>
    </format>
    <format dxfId="877">
      <pivotArea field="4" type="button" dataOnly="0" labelOnly="1" outline="0" axis="axisRow" fieldPosition="0"/>
    </format>
    <format dxfId="876">
      <pivotArea dataOnly="0" labelOnly="1" fieldPosition="0">
        <references count="1">
          <reference field="4" count="0"/>
        </references>
      </pivotArea>
    </format>
    <format dxfId="875">
      <pivotArea dataOnly="0" labelOnly="1" grandRow="1" outline="0" fieldPosition="0"/>
    </format>
    <format dxfId="874">
      <pivotArea dataOnly="0" labelOnly="1" outline="0" axis="axisValues" fieldPosition="0"/>
    </format>
    <format dxfId="873">
      <pivotArea type="all" dataOnly="0" outline="0" fieldPosition="0"/>
    </format>
    <format dxfId="872">
      <pivotArea outline="0" collapsedLevelsAreSubtotals="1" fieldPosition="0"/>
    </format>
    <format dxfId="871">
      <pivotArea field="4" type="button" dataOnly="0" labelOnly="1" outline="0" axis="axisRow" fieldPosition="0"/>
    </format>
    <format dxfId="870">
      <pivotArea dataOnly="0" labelOnly="1" fieldPosition="0">
        <references count="1">
          <reference field="4" count="0"/>
        </references>
      </pivotArea>
    </format>
    <format dxfId="869">
      <pivotArea dataOnly="0" labelOnly="1" grandRow="1" outline="0" fieldPosition="0"/>
    </format>
    <format dxfId="86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95B9C8-885A-4577-836C-A68E0E5002F2}" name="PivotTable1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96:H118" firstHeaderRow="1" firstDataRow="2" firstDataCol="1"/>
  <pivotFields count="16">
    <pivotField showAll="0"/>
    <pivotField numFmtId="164" showAll="0"/>
    <pivotField showAll="0"/>
    <pivotField axis="axisRow" showAll="0">
      <items count="21">
        <item x="19"/>
        <item x="10"/>
        <item x="14"/>
        <item x="1"/>
        <item x="12"/>
        <item x="8"/>
        <item x="17"/>
        <item x="11"/>
        <item x="7"/>
        <item x="0"/>
        <item x="5"/>
        <item x="9"/>
        <item x="16"/>
        <item x="2"/>
        <item x="4"/>
        <item x="13"/>
        <item x="6"/>
        <item x="3"/>
        <item x="15"/>
        <item x="18"/>
        <item t="default"/>
      </items>
    </pivotField>
    <pivotField showAll="0">
      <items count="3">
        <item x="0"/>
        <item x="1"/>
        <item t="default"/>
      </items>
    </pivotField>
    <pivotField showAll="0">
      <items count="6">
        <item x="0"/>
        <item x="2"/>
        <item x="1"/>
        <item x="4"/>
        <item x="3"/>
        <item t="default"/>
      </items>
    </pivotField>
    <pivotField showAll="0">
      <items count="4">
        <item x="1"/>
        <item x="0"/>
        <item x="2"/>
        <item t="default"/>
      </items>
    </pivotField>
    <pivotField showAll="0"/>
    <pivotField dataField="1" showAll="0"/>
    <pivotField showAll="0"/>
    <pivotField showAll="0"/>
    <pivotField showAll="0"/>
    <pivotField showAll="0"/>
    <pivotField axis="axisCol" showAll="0">
      <items count="4">
        <item x="0"/>
        <item x="1"/>
        <item x="2"/>
        <item t="default"/>
      </items>
    </pivotField>
    <pivotField showAll="0"/>
    <pivotField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Fields count="1">
    <field x="13"/>
  </colFields>
  <colItems count="4">
    <i>
      <x/>
    </i>
    <i>
      <x v="1"/>
    </i>
    <i>
      <x v="2"/>
    </i>
    <i t="grand">
      <x/>
    </i>
  </colItems>
  <dataFields count="1">
    <dataField name="Sum of Unite price" fld="8" baseField="0" baseItem="0"/>
  </dataFields>
  <formats count="14">
    <format dxfId="893">
      <pivotArea type="all" dataOnly="0" outline="0" fieldPosition="0"/>
    </format>
    <format dxfId="892">
      <pivotArea type="origin" dataOnly="0" labelOnly="1" outline="0" fieldPosition="0"/>
    </format>
    <format dxfId="891">
      <pivotArea field="13" type="button" dataOnly="0" labelOnly="1" outline="0" axis="axisCol" fieldPosition="0"/>
    </format>
    <format dxfId="890">
      <pivotArea type="topRight" dataOnly="0" labelOnly="1" outline="0" fieldPosition="0"/>
    </format>
    <format dxfId="889">
      <pivotArea field="3" type="button" dataOnly="0" labelOnly="1" outline="0" axis="axisRow" fieldPosition="0"/>
    </format>
    <format dxfId="888">
      <pivotArea dataOnly="0" labelOnly="1" fieldPosition="0">
        <references count="1">
          <reference field="13" count="0"/>
        </references>
      </pivotArea>
    </format>
    <format dxfId="887">
      <pivotArea dataOnly="0" labelOnly="1" grandCol="1" outline="0" fieldPosition="0"/>
    </format>
    <format dxfId="886">
      <pivotArea type="origin" dataOnly="0" labelOnly="1" outline="0" fieldPosition="0"/>
    </format>
    <format dxfId="885">
      <pivotArea field="13" type="button" dataOnly="0" labelOnly="1" outline="0" axis="axisCol" fieldPosition="0"/>
    </format>
    <format dxfId="884">
      <pivotArea type="topRight" dataOnly="0" labelOnly="1" outline="0" fieldPosition="0"/>
    </format>
    <format dxfId="883">
      <pivotArea field="3" type="button" dataOnly="0" labelOnly="1" outline="0" axis="axisRow" fieldPosition="0"/>
    </format>
    <format dxfId="882">
      <pivotArea dataOnly="0" labelOnly="1" fieldPosition="0">
        <references count="1">
          <reference field="13" count="0"/>
        </references>
      </pivotArea>
    </format>
    <format dxfId="881">
      <pivotArea dataOnly="0" labelOnly="1" grandCol="1" outline="0" fieldPosition="0"/>
    </format>
    <format dxfId="880">
      <pivotArea type="all" dataOnly="0"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10" format="6" series="1">
      <pivotArea type="data" outline="0" fieldPosition="0">
        <references count="2">
          <reference field="4294967294" count="1" selected="0">
            <x v="0"/>
          </reference>
          <reference field="13" count="1" selected="0">
            <x v="0"/>
          </reference>
        </references>
      </pivotArea>
    </chartFormat>
    <chartFormat chart="10" format="7"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13F480-A4AC-4F0D-8059-41B415421AF8}" name="PivotTable3"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C8:D11" firstHeaderRow="1" firstDataRow="1" firstDataCol="1"/>
  <pivotFields count="16">
    <pivotField compact="0" outline="0" showAll="0"/>
    <pivotField compact="0" numFmtId="164" outline="0" showAll="0"/>
    <pivotField compact="0" outline="0" showAll="0"/>
    <pivotField compact="0" outline="0" showAll="0"/>
    <pivotField axis="axisRow" compact="0" outline="0" showAll="0" sortType="descending">
      <items count="3">
        <item x="0"/>
        <item x="1"/>
        <item t="default"/>
      </items>
      <autoSortScope>
        <pivotArea dataOnly="0" outline="0" fieldPosition="0">
          <references count="1">
            <reference field="4294967294" count="1" selected="0">
              <x v="0"/>
            </reference>
          </references>
        </pivotArea>
      </autoSortScope>
    </pivotField>
    <pivotField compact="0" outline="0" showAll="0">
      <items count="6">
        <item x="0"/>
        <item x="2"/>
        <item x="1"/>
        <item x="4"/>
        <item x="3"/>
        <item t="default"/>
      </items>
    </pivotField>
    <pivotField compact="0" outline="0" showAll="0">
      <items count="4">
        <item x="1"/>
        <item x="0"/>
        <item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4"/>
  </rowFields>
  <rowItems count="3">
    <i>
      <x/>
    </i>
    <i>
      <x v="1"/>
    </i>
    <i t="grand">
      <x/>
    </i>
  </rowItems>
  <colItems count="1">
    <i/>
  </colItems>
  <dataFields count="1">
    <dataField name="Sum of Final Amount" fld="11" baseField="0" baseItem="0"/>
  </dataFields>
  <formats count="16">
    <format dxfId="909">
      <pivotArea type="all" dataOnly="0" outline="0" fieldPosition="0"/>
    </format>
    <format dxfId="908">
      <pivotArea outline="0" collapsedLevelsAreSubtotals="1" fieldPosition="0"/>
    </format>
    <format dxfId="907">
      <pivotArea field="4" type="button" dataOnly="0" labelOnly="1" outline="0" axis="axisRow" fieldPosition="0"/>
    </format>
    <format dxfId="906">
      <pivotArea dataOnly="0" labelOnly="1" outline="0" fieldPosition="0">
        <references count="1">
          <reference field="4" count="0"/>
        </references>
      </pivotArea>
    </format>
    <format dxfId="905">
      <pivotArea dataOnly="0" labelOnly="1" grandRow="1" outline="0" fieldPosition="0"/>
    </format>
    <format dxfId="904">
      <pivotArea dataOnly="0" labelOnly="1" outline="0" axis="axisValues" fieldPosition="0"/>
    </format>
    <format dxfId="903">
      <pivotArea type="all" dataOnly="0" outline="0" fieldPosition="0"/>
    </format>
    <format dxfId="902">
      <pivotArea outline="0" collapsedLevelsAreSubtotals="1" fieldPosition="0"/>
    </format>
    <format dxfId="901">
      <pivotArea field="4" type="button" dataOnly="0" labelOnly="1" outline="0" axis="axisRow" fieldPosition="0"/>
    </format>
    <format dxfId="900">
      <pivotArea dataOnly="0" labelOnly="1" outline="0" fieldPosition="0">
        <references count="1">
          <reference field="4" count="0"/>
        </references>
      </pivotArea>
    </format>
    <format dxfId="899">
      <pivotArea dataOnly="0" labelOnly="1" grandRow="1" outline="0" fieldPosition="0"/>
    </format>
    <format dxfId="898">
      <pivotArea dataOnly="0" labelOnly="1" outline="0" axis="axisValues" fieldPosition="0"/>
    </format>
    <format dxfId="897">
      <pivotArea field="4" type="button" dataOnly="0" labelOnly="1" outline="0" axis="axisRow" fieldPosition="0"/>
    </format>
    <format dxfId="896">
      <pivotArea dataOnly="0" labelOnly="1" outline="0" axis="axisValues" fieldPosition="0"/>
    </format>
    <format dxfId="895">
      <pivotArea field="4" type="button" dataOnly="0" labelOnly="1" outline="0" axis="axisRow" fieldPosition="0"/>
    </format>
    <format dxfId="89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1F8F3E2-B53A-48E7-8993-8157615C174D}"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53:H174" firstHeaderRow="0" firstDataRow="1" firstDataCol="1"/>
  <pivotFields count="16">
    <pivotField dataField="1" showAll="0"/>
    <pivotField numFmtId="164" showAll="0"/>
    <pivotField showAll="0"/>
    <pivotField axis="axisRow" showAll="0">
      <items count="21">
        <item x="19"/>
        <item x="10"/>
        <item x="14"/>
        <item x="1"/>
        <item x="12"/>
        <item x="8"/>
        <item x="17"/>
        <item x="11"/>
        <item x="7"/>
        <item x="0"/>
        <item x="5"/>
        <item x="9"/>
        <item x="16"/>
        <item x="2"/>
        <item x="4"/>
        <item x="13"/>
        <item x="6"/>
        <item x="3"/>
        <item x="15"/>
        <item x="18"/>
        <item t="default"/>
      </items>
    </pivotField>
    <pivotField showAll="0"/>
    <pivotField showAll="0">
      <items count="6">
        <item x="0"/>
        <item x="2"/>
        <item x="1"/>
        <item x="4"/>
        <item x="3"/>
        <item t="default"/>
      </items>
    </pivotField>
    <pivotField showAll="0">
      <items count="4">
        <item x="1"/>
        <item x="0"/>
        <item x="2"/>
        <item t="default"/>
      </items>
    </pivotField>
    <pivotField dataField="1" showAll="0"/>
    <pivotField dataField="1" showAll="0">
      <items count="19">
        <item x="8"/>
        <item x="7"/>
        <item x="10"/>
        <item x="1"/>
        <item x="15"/>
        <item x="14"/>
        <item x="3"/>
        <item x="16"/>
        <item x="12"/>
        <item x="4"/>
        <item x="5"/>
        <item x="2"/>
        <item x="11"/>
        <item x="6"/>
        <item x="13"/>
        <item x="9"/>
        <item x="17"/>
        <item x="0"/>
        <item t="default"/>
      </items>
    </pivotField>
    <pivotField showAll="0"/>
    <pivotField showAll="0"/>
    <pivotField dataField="1" showAll="0"/>
    <pivotField showAll="0"/>
    <pivotField showAll="0"/>
    <pivotField showAll="0"/>
    <pivotField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4">
    <i>
      <x/>
    </i>
    <i i="1">
      <x v="1"/>
    </i>
    <i i="2">
      <x v="2"/>
    </i>
    <i i="3">
      <x v="3"/>
    </i>
  </colItems>
  <dataFields count="4">
    <dataField name="Sum of Final Amount" fld="11" baseField="0" baseItem="0"/>
    <dataField name="Count of O.ID" fld="0" subtotal="count" baseField="3" baseItem="0"/>
    <dataField name="Sum of Unite price" fld="8" baseField="0" baseItem="0"/>
    <dataField name="Sum of Qty" fld="7" baseField="0" baseItem="0"/>
  </dataFields>
  <formats count="16">
    <format dxfId="925">
      <pivotArea type="all" dataOnly="0" outline="0" fieldPosition="0"/>
    </format>
    <format dxfId="924">
      <pivotArea outline="0" collapsedLevelsAreSubtotals="1" fieldPosition="0"/>
    </format>
    <format dxfId="923">
      <pivotArea field="3" type="button" dataOnly="0" labelOnly="1" outline="0" axis="axisRow" fieldPosition="0"/>
    </format>
    <format dxfId="922">
      <pivotArea dataOnly="0" labelOnly="1" fieldPosition="0">
        <references count="1">
          <reference field="3" count="0"/>
        </references>
      </pivotArea>
    </format>
    <format dxfId="921">
      <pivotArea dataOnly="0" labelOnly="1" grandRow="1" outline="0" fieldPosition="0"/>
    </format>
    <format dxfId="920">
      <pivotArea dataOnly="0" labelOnly="1" outline="0" fieldPosition="0">
        <references count="1">
          <reference field="4294967294" count="4">
            <x v="0"/>
            <x v="1"/>
            <x v="2"/>
            <x v="3"/>
          </reference>
        </references>
      </pivotArea>
    </format>
    <format dxfId="919">
      <pivotArea field="3" type="button" dataOnly="0" labelOnly="1" outline="0" axis="axisRow" fieldPosition="0"/>
    </format>
    <format dxfId="918">
      <pivotArea dataOnly="0" labelOnly="1" outline="0" fieldPosition="0">
        <references count="1">
          <reference field="4294967294" count="4">
            <x v="0"/>
            <x v="1"/>
            <x v="2"/>
            <x v="3"/>
          </reference>
        </references>
      </pivotArea>
    </format>
    <format dxfId="917">
      <pivotArea field="3" type="button" dataOnly="0" labelOnly="1" outline="0" axis="axisRow" fieldPosition="0"/>
    </format>
    <format dxfId="916">
      <pivotArea dataOnly="0" labelOnly="1" outline="0" fieldPosition="0">
        <references count="1">
          <reference field="4294967294" count="4">
            <x v="0"/>
            <x v="1"/>
            <x v="2"/>
            <x v="3"/>
          </reference>
        </references>
      </pivotArea>
    </format>
    <format dxfId="915">
      <pivotArea type="all" dataOnly="0" outline="0" fieldPosition="0"/>
    </format>
    <format dxfId="914">
      <pivotArea outline="0" collapsedLevelsAreSubtotals="1" fieldPosition="0"/>
    </format>
    <format dxfId="913">
      <pivotArea field="3" type="button" dataOnly="0" labelOnly="1" outline="0" axis="axisRow" fieldPosition="0"/>
    </format>
    <format dxfId="912">
      <pivotArea dataOnly="0" labelOnly="1" fieldPosition="0">
        <references count="1">
          <reference field="3" count="0"/>
        </references>
      </pivotArea>
    </format>
    <format dxfId="911">
      <pivotArea dataOnly="0" labelOnly="1" grandRow="1" outline="0" fieldPosition="0"/>
    </format>
    <format dxfId="910">
      <pivotArea dataOnly="0" labelOnly="1" outline="0" fieldPosition="0">
        <references count="1">
          <reference field="4294967294" count="4">
            <x v="0"/>
            <x v="1"/>
            <x v="2"/>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A2D910-AEFA-410D-81EB-0C0E77075D03}"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68:I72" firstHeaderRow="1" firstDataRow="2" firstDataCol="1"/>
  <pivotFields count="16">
    <pivotField showAll="0"/>
    <pivotField numFmtId="164" showAll="0"/>
    <pivotField showAll="0"/>
    <pivotField showAll="0"/>
    <pivotField axis="axisRow" showAll="0">
      <items count="3">
        <item x="0"/>
        <item x="1"/>
        <item t="default"/>
      </items>
    </pivotField>
    <pivotField axis="axisCol" showAll="0">
      <items count="6">
        <item x="0"/>
        <item x="2"/>
        <item x="1"/>
        <item x="4"/>
        <item x="3"/>
        <item t="default"/>
      </items>
    </pivotField>
    <pivotField showAll="0">
      <items count="4">
        <item x="1"/>
        <item x="0"/>
        <item x="2"/>
        <item t="default"/>
      </items>
    </pivotField>
    <pivotField showAll="0"/>
    <pivotField showAll="0"/>
    <pivotField showAll="0"/>
    <pivotField showAll="0"/>
    <pivotField dataField="1" showAll="0"/>
    <pivotField showAll="0"/>
    <pivotField showAll="0"/>
    <pivotField showAll="0"/>
    <pivotField showAll="0"/>
  </pivotFields>
  <rowFields count="1">
    <field x="4"/>
  </rowFields>
  <rowItems count="3">
    <i>
      <x/>
    </i>
    <i>
      <x v="1"/>
    </i>
    <i t="grand">
      <x/>
    </i>
  </rowItems>
  <colFields count="1">
    <field x="5"/>
  </colFields>
  <colItems count="6">
    <i>
      <x/>
    </i>
    <i>
      <x v="1"/>
    </i>
    <i>
      <x v="2"/>
    </i>
    <i>
      <x v="3"/>
    </i>
    <i>
      <x v="4"/>
    </i>
    <i t="grand">
      <x/>
    </i>
  </colItems>
  <dataFields count="1">
    <dataField name="Sum of Final Amount" fld="11" baseField="0" baseItem="0"/>
  </dataFields>
  <formats count="10">
    <format dxfId="935">
      <pivotArea outline="0" collapsedLevelsAreSubtotals="1" fieldPosition="0"/>
    </format>
    <format dxfId="934">
      <pivotArea field="5" type="button" dataOnly="0" labelOnly="1" outline="0" axis="axisCol" fieldPosition="0"/>
    </format>
    <format dxfId="933">
      <pivotArea type="topRight" dataOnly="0" labelOnly="1" outline="0" fieldPosition="0"/>
    </format>
    <format dxfId="932">
      <pivotArea dataOnly="0" labelOnly="1" fieldPosition="0">
        <references count="1">
          <reference field="5" count="0"/>
        </references>
      </pivotArea>
    </format>
    <format dxfId="931">
      <pivotArea dataOnly="0" labelOnly="1" grandCol="1" outline="0" fieldPosition="0"/>
    </format>
    <format dxfId="930">
      <pivotArea dataOnly="0" labelOnly="1" fieldPosition="0">
        <references count="1">
          <reference field="5" count="0"/>
        </references>
      </pivotArea>
    </format>
    <format dxfId="929">
      <pivotArea dataOnly="0" labelOnly="1" grandCol="1" outline="0" fieldPosition="0"/>
    </format>
    <format dxfId="928">
      <pivotArea dataOnly="0" labelOnly="1" fieldPosition="0">
        <references count="1">
          <reference field="5" count="0"/>
        </references>
      </pivotArea>
    </format>
    <format dxfId="927">
      <pivotArea dataOnly="0" labelOnly="1" grandCol="1" outline="0" fieldPosition="0"/>
    </format>
    <format dxfId="926">
      <pivotArea type="all" dataOnly="0" outline="0" fieldPosition="0"/>
    </format>
  </format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15" format="10" series="1">
      <pivotArea type="data" outline="0" fieldPosition="0">
        <references count="2">
          <reference field="4294967294" count="1" selected="0">
            <x v="0"/>
          </reference>
          <reference field="5" count="1" selected="0">
            <x v="0"/>
          </reference>
        </references>
      </pivotArea>
    </chartFormat>
    <chartFormat chart="15" format="11" series="1">
      <pivotArea type="data" outline="0" fieldPosition="0">
        <references count="2">
          <reference field="4294967294" count="1" selected="0">
            <x v="0"/>
          </reference>
          <reference field="5" count="1" selected="0">
            <x v="1"/>
          </reference>
        </references>
      </pivotArea>
    </chartFormat>
    <chartFormat chart="15" format="12" series="1">
      <pivotArea type="data" outline="0" fieldPosition="0">
        <references count="2">
          <reference field="4294967294" count="1" selected="0">
            <x v="0"/>
          </reference>
          <reference field="5" count="1" selected="0">
            <x v="2"/>
          </reference>
        </references>
      </pivotArea>
    </chartFormat>
    <chartFormat chart="15" format="13" series="1">
      <pivotArea type="data" outline="0" fieldPosition="0">
        <references count="2">
          <reference field="4294967294" count="1" selected="0">
            <x v="0"/>
          </reference>
          <reference field="5" count="1" selected="0">
            <x v="3"/>
          </reference>
        </references>
      </pivotArea>
    </chartFormat>
    <chartFormat chart="15" format="14" series="1">
      <pivotArea type="data" outline="0" fieldPosition="0">
        <references count="2">
          <reference field="4294967294" count="1" selected="0">
            <x v="0"/>
          </reference>
          <reference field="5"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2645328-9F00-4D5A-8DEA-EBD65A89B517}"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C26:D30" firstHeaderRow="1" firstDataRow="1" firstDataCol="1"/>
  <pivotFields count="16">
    <pivotField showAll="0"/>
    <pivotField numFmtId="164" showAll="0"/>
    <pivotField showAll="0"/>
    <pivotField showAll="0"/>
    <pivotField showAll="0">
      <items count="3">
        <item x="0"/>
        <item x="1"/>
        <item t="default"/>
      </items>
    </pivotField>
    <pivotField showAll="0">
      <items count="6">
        <item x="0"/>
        <item x="2"/>
        <item x="1"/>
        <item x="4"/>
        <item x="3"/>
        <item t="default"/>
      </items>
    </pivotField>
    <pivotField axis="axisRow" showAll="0">
      <items count="4">
        <item x="1"/>
        <item x="0"/>
        <item x="2"/>
        <item t="default"/>
      </items>
    </pivotField>
    <pivotField showAll="0"/>
    <pivotField showAll="0"/>
    <pivotField showAll="0"/>
    <pivotField showAll="0"/>
    <pivotField dataField="1" showAll="0"/>
    <pivotField showAll="0"/>
    <pivotField showAll="0"/>
    <pivotField showAll="0"/>
    <pivotField showAll="0"/>
  </pivotFields>
  <rowFields count="1">
    <field x="6"/>
  </rowFields>
  <rowItems count="4">
    <i>
      <x/>
    </i>
    <i>
      <x v="1"/>
    </i>
    <i>
      <x v="2"/>
    </i>
    <i t="grand">
      <x/>
    </i>
  </rowItems>
  <colItems count="1">
    <i/>
  </colItems>
  <dataFields count="1">
    <dataField name="Average of Final Amount" fld="11" subtotal="average" baseField="6" baseItem="0"/>
  </dataFields>
  <formats count="15">
    <format dxfId="950">
      <pivotArea collapsedLevelsAreSubtotals="1" fieldPosition="0">
        <references count="1">
          <reference field="6" count="0"/>
        </references>
      </pivotArea>
    </format>
    <format dxfId="949">
      <pivotArea field="6" type="button" dataOnly="0" labelOnly="1" outline="0" axis="axisRow" fieldPosition="0"/>
    </format>
    <format dxfId="948">
      <pivotArea dataOnly="0" labelOnly="1" fieldPosition="0">
        <references count="1">
          <reference field="6" count="0"/>
        </references>
      </pivotArea>
    </format>
    <format dxfId="947">
      <pivotArea dataOnly="0" labelOnly="1" outline="0" axis="axisValues" fieldPosition="0"/>
    </format>
    <format dxfId="946">
      <pivotArea dataOnly="0" grandRow="1" axis="axisRow" fieldPosition="0"/>
    </format>
    <format dxfId="945">
      <pivotArea type="all" dataOnly="0" outline="0" fieldPosition="0"/>
    </format>
    <format dxfId="944">
      <pivotArea outline="0" collapsedLevelsAreSubtotals="1" fieldPosition="0"/>
    </format>
    <format dxfId="943">
      <pivotArea field="6" type="button" dataOnly="0" labelOnly="1" outline="0" axis="axisRow" fieldPosition="0"/>
    </format>
    <format dxfId="942">
      <pivotArea dataOnly="0" labelOnly="1" fieldPosition="0">
        <references count="1">
          <reference field="6" count="0"/>
        </references>
      </pivotArea>
    </format>
    <format dxfId="941">
      <pivotArea dataOnly="0" labelOnly="1" grandRow="1" outline="0" fieldPosition="0"/>
    </format>
    <format dxfId="940">
      <pivotArea dataOnly="0" labelOnly="1" outline="0" axis="axisValues" fieldPosition="0"/>
    </format>
    <format dxfId="939">
      <pivotArea field="6" type="button" dataOnly="0" labelOnly="1" outline="0" axis="axisRow" fieldPosition="0"/>
    </format>
    <format dxfId="938">
      <pivotArea dataOnly="0" labelOnly="1" outline="0" axis="axisValues" fieldPosition="0"/>
    </format>
    <format dxfId="937">
      <pivotArea field="6" type="button" dataOnly="0" labelOnly="1" outline="0" axis="axisRow" fieldPosition="0"/>
    </format>
    <format dxfId="936">
      <pivotArea dataOnly="0" labelOnly="1" outline="0" axis="axisValues" fieldPosition="0"/>
    </format>
  </formats>
  <chartFormats count="8">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6" count="1" selected="0">
            <x v="0"/>
          </reference>
        </references>
      </pivotArea>
    </chartFormat>
    <chartFormat chart="26" format="2">
      <pivotArea type="data" outline="0" fieldPosition="0">
        <references count="2">
          <reference field="4294967294" count="1" selected="0">
            <x v="0"/>
          </reference>
          <reference field="6" count="1" selected="0">
            <x v="1"/>
          </reference>
        </references>
      </pivotArea>
    </chartFormat>
    <chartFormat chart="26" format="3">
      <pivotArea type="data" outline="0" fieldPosition="0">
        <references count="2">
          <reference field="4294967294" count="1" selected="0">
            <x v="0"/>
          </reference>
          <reference field="6" count="1" selected="0">
            <x v="2"/>
          </reference>
        </references>
      </pivotArea>
    </chartFormat>
    <chartFormat chart="35" format="8" series="1">
      <pivotArea type="data" outline="0" fieldPosition="0">
        <references count="1">
          <reference field="4294967294" count="1" selected="0">
            <x v="0"/>
          </reference>
        </references>
      </pivotArea>
    </chartFormat>
    <chartFormat chart="35" format="9">
      <pivotArea type="data" outline="0" fieldPosition="0">
        <references count="2">
          <reference field="4294967294" count="1" selected="0">
            <x v="0"/>
          </reference>
          <reference field="6" count="1" selected="0">
            <x v="0"/>
          </reference>
        </references>
      </pivotArea>
    </chartFormat>
    <chartFormat chart="35" format="10">
      <pivotArea type="data" outline="0" fieldPosition="0">
        <references count="2">
          <reference field="4294967294" count="1" selected="0">
            <x v="0"/>
          </reference>
          <reference field="6" count="1" selected="0">
            <x v="1"/>
          </reference>
        </references>
      </pivotArea>
    </chartFormat>
    <chartFormat chart="35" format="11">
      <pivotArea type="data" outline="0" fieldPosition="0">
        <references count="2">
          <reference field="4294967294" count="1" selected="0">
            <x v="0"/>
          </reference>
          <reference field="6"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1A5CA36-41B2-43A3-B7B9-91493D356D72}" sourceName="City">
  <pivotTables>
    <pivotTable tabId="9" name="PivotTable30"/>
  </pivotTables>
  <data>
    <tabular pivotCacheId="1536561695">
      <items count="5">
        <i x="0" s="1"/>
        <i x="2"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A787F352-4F46-4A08-8A4F-2FC2CB33B0DC}" sourceName="City">
  <pivotTables>
    <pivotTable tabId="9" name="PivotTable29"/>
  </pivotTables>
  <data>
    <tabular pivotCacheId="1536561695">
      <items count="5">
        <i x="0" s="1"/>
        <i x="2"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CD0BFA91-AD22-4009-9E04-58A727C66B89}" sourceName="Sales person">
  <pivotTables>
    <pivotTable tabId="9" name="PivotTable28"/>
  </pivotTables>
  <data>
    <tabular pivotCacheId="1536561695">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B07E5F0-8189-4432-8815-4B92FC810880}" cache="Slicer_City" caption="City" rowHeight="241300"/>
  <slicer name="City 1" xr10:uid="{EE1CA6A4-769C-4A51-BEE1-FF964FB17D0A}" cache="Slicer_City1" caption="City" rowHeight="241300"/>
  <slicer name="Sales person" xr10:uid="{D1A8E3EA-E398-4557-88F0-5C1E14130CF0}" cache="Slicer_Sales_person" caption="Sales per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A774D0-C800-46A0-A06D-6BFE8B7EDA45}" name="Table256" displayName="Table256" ref="A3:P23" totalsRowShown="0" headerRowDxfId="971" dataDxfId="969" headerRowBorderDxfId="970" tableBorderDxfId="968" totalsRowBorderDxfId="967">
  <autoFilter ref="A3:P23" xr:uid="{54A774D0-C800-46A0-A06D-6BFE8B7EDA45}"/>
  <tableColumns count="16">
    <tableColumn id="1" xr3:uid="{657EA748-EC38-4CF7-98DF-1AF43896FDC6}" name="O.ID" dataDxfId="966"/>
    <tableColumn id="2" xr3:uid="{A7D19ED3-1BD1-4285-B494-17114FF4D287}" name="Date" dataDxfId="965"/>
    <tableColumn id="3" xr3:uid="{87492781-0019-4765-87D4-231BB8D2047C}" name="Customer" dataDxfId="964"/>
    <tableColumn id="4" xr3:uid="{FE996753-B7C1-4E5F-891F-66FD7A23A08C}" name="Products" dataDxfId="963"/>
    <tableColumn id="5" xr3:uid="{55646481-FAD2-4D0A-9FD2-C0E2114986D8}" name="Category" dataDxfId="962"/>
    <tableColumn id="6" xr3:uid="{1601ED17-172F-40F3-8CFF-D0EB11472F15}" name="City" dataDxfId="961"/>
    <tableColumn id="7" xr3:uid="{BF544FAB-AD96-49DD-A0F3-44C7DE5E767D}" name="Sales person" dataDxfId="960"/>
    <tableColumn id="8" xr3:uid="{B89BC3A1-6E39-49FE-8722-0DE8853C1A1E}" name="Qty" dataDxfId="959"/>
    <tableColumn id="9" xr3:uid="{867351F6-B486-4FDC-8AEE-6CE3BD9EA913}" name="Unite price" dataDxfId="958"/>
    <tableColumn id="10" xr3:uid="{8C804677-43B3-43D0-B36E-3A49942E40B1}" name="Discount" dataDxfId="957"/>
    <tableColumn id="11" xr3:uid="{A1EFD714-AF6B-45FE-9792-5B2D7D21890E}" name="Seniority" dataDxfId="956">
      <calculatedColumnFormula array="1">_xlfn.IFS(Table256[[#This Row],[Sales person]]="priya","Senior Staff",Table256[[#This Row],[Sales person]]="Ravi","Senior Staff")</calculatedColumnFormula>
    </tableColumn>
    <tableColumn id="13" xr3:uid="{44AFC267-412F-4027-A69D-9A15876242DF}" name="Final Amount" dataDxfId="955">
      <calculatedColumnFormula>Table256[[#This Row],[Unite price]]*Table256[[#This Row],[Discount]]</calculatedColumnFormula>
    </tableColumn>
    <tableColumn id="14" xr3:uid="{425FEFA6-CB38-4A65-8F2A-7902BB412CF4}" name="Qty &amp; Discount check" dataDxfId="954">
      <calculatedColumnFormula>IF(AND(H4&gt;3,J4&gt;3),"Yes","No")</calculatedColumnFormula>
    </tableColumn>
    <tableColumn id="15" xr3:uid="{B1880435-B254-4A89-BDC2-85340E644191}" name="Order Status" dataDxfId="953">
      <calculatedColumnFormula array="1">_xlfn.IFS(L4&gt;=75000,"High Value",L4&gt;30000,"Medium Value",L4&lt;30000,"Low Value")</calculatedColumnFormula>
    </tableColumn>
    <tableColumn id="12" xr3:uid="{86069BD9-1DAF-440E-8C53-EBB704D87061}" name="Electronics sales " dataDxfId="952">
      <calculatedColumnFormula>IF(AND(L4&gt;50000,E4="Electronics"),"High Sale","Narmal Sale")</calculatedColumnFormula>
    </tableColumn>
    <tableColumn id="16" xr3:uid="{ADF554E0-0C5E-42C7-B5B7-B4FA2347C2BC}" name="GST" dataDxfId="951">
      <calculatedColumnFormula>Table256[[#This Row],[Final Amount]]*0.18</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pivotTable" Target="../pivotTables/pivotTable15.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ivotTable" Target="../pivotTables/pivotTable14.xml"/><Relationship Id="rId2" Type="http://schemas.openxmlformats.org/officeDocument/2006/relationships/pivotTable" Target="../pivotTables/pivotTable4.xml"/><Relationship Id="rId16" Type="http://schemas.microsoft.com/office/2007/relationships/slicer" Target="../slicers/slicer1.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5" Type="http://schemas.openxmlformats.org/officeDocument/2006/relationships/drawing" Target="../drawings/drawing1.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 Id="rId1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89CE0-28DE-4969-927D-F2AA68ADE550}">
  <dimension ref="A1:P57"/>
  <sheetViews>
    <sheetView showGridLines="0" tabSelected="1" topLeftCell="A24" zoomScale="98" zoomScaleNormal="98" workbookViewId="0">
      <selection activeCell="K34" sqref="K34"/>
    </sheetView>
  </sheetViews>
  <sheetFormatPr defaultRowHeight="15" x14ac:dyDescent="0.25"/>
  <cols>
    <col min="1" max="1" width="9.140625" customWidth="1"/>
    <col min="2" max="2" width="18.5703125" bestFit="1" customWidth="1"/>
    <col min="3" max="3" width="15.42578125" bestFit="1" customWidth="1"/>
    <col min="4" max="4" width="17.5703125" bestFit="1" customWidth="1"/>
    <col min="5" max="5" width="18.7109375" customWidth="1"/>
    <col min="6" max="6" width="18.42578125" bestFit="1" customWidth="1"/>
    <col min="7" max="7" width="18.5703125" bestFit="1" customWidth="1"/>
    <col min="9" max="9" width="11.28515625" bestFit="1" customWidth="1"/>
    <col min="10" max="10" width="14" bestFit="1" customWidth="1"/>
    <col min="11" max="11" width="16.7109375" bestFit="1" customWidth="1"/>
    <col min="12" max="12" width="18.7109375" bestFit="1" customWidth="1"/>
    <col min="13" max="13" width="14.5703125" bestFit="1" customWidth="1"/>
    <col min="14" max="14" width="13.5703125" bestFit="1" customWidth="1"/>
    <col min="15" max="15" width="13.7109375" bestFit="1" customWidth="1"/>
  </cols>
  <sheetData>
    <row r="1" spans="1:16" s="18" customFormat="1" ht="91.5" customHeight="1" x14ac:dyDescent="0.25">
      <c r="B1" s="19"/>
      <c r="C1" s="19"/>
      <c r="D1" s="19"/>
      <c r="E1" s="19"/>
      <c r="G1" s="21" t="s">
        <v>0</v>
      </c>
    </row>
    <row r="3" spans="1:16" ht="42.75" x14ac:dyDescent="0.25">
      <c r="A3" s="14" t="s">
        <v>1</v>
      </c>
      <c r="B3" s="15" t="s">
        <v>2</v>
      </c>
      <c r="C3" s="16" t="s">
        <v>3</v>
      </c>
      <c r="D3" s="16" t="s">
        <v>4</v>
      </c>
      <c r="E3" s="16" t="s">
        <v>5</v>
      </c>
      <c r="F3" s="16" t="s">
        <v>6</v>
      </c>
      <c r="G3" s="16" t="s">
        <v>7</v>
      </c>
      <c r="H3" s="16" t="s">
        <v>8</v>
      </c>
      <c r="I3" s="16" t="s">
        <v>9</v>
      </c>
      <c r="J3" s="16" t="s">
        <v>10</v>
      </c>
      <c r="K3" s="16" t="s">
        <v>11</v>
      </c>
      <c r="L3" s="17" t="s">
        <v>12</v>
      </c>
      <c r="M3" s="16" t="s">
        <v>13</v>
      </c>
      <c r="N3" s="23" t="s">
        <v>14</v>
      </c>
      <c r="O3" s="23" t="s">
        <v>15</v>
      </c>
      <c r="P3" s="16" t="s">
        <v>16</v>
      </c>
    </row>
    <row r="4" spans="1:16" x14ac:dyDescent="0.25">
      <c r="A4" s="6">
        <v>1001</v>
      </c>
      <c r="B4" s="7">
        <v>46204</v>
      </c>
      <c r="C4" s="8" t="s">
        <v>17</v>
      </c>
      <c r="D4" s="8" t="s">
        <v>18</v>
      </c>
      <c r="E4" s="8" t="s">
        <v>19</v>
      </c>
      <c r="F4" s="8" t="s">
        <v>20</v>
      </c>
      <c r="G4" s="8" t="s">
        <v>21</v>
      </c>
      <c r="H4" s="8">
        <v>2</v>
      </c>
      <c r="I4" s="8">
        <v>55000</v>
      </c>
      <c r="J4" s="8">
        <v>10</v>
      </c>
      <c r="K4" s="8" t="str" cm="1">
        <f t="array" ref="K4">_xlfn.IFS(Table256[[#This Row],[Sales person]]="priya","Senior Staff",Table256[[#This Row],[Sales person]]="Ravi","Senior Staff")</f>
        <v>Senior Staff</v>
      </c>
      <c r="L4" s="9">
        <f>Table256[[#This Row],[Unite price]]*Table256[[#This Row],[Discount]]</f>
        <v>550000</v>
      </c>
      <c r="M4" s="20" t="str">
        <f t="shared" ref="M4:M23" si="0">IF(AND(H4&gt;3,J4&gt;3),"Yes","No")</f>
        <v>No</v>
      </c>
      <c r="N4" s="8" t="str" cm="1">
        <f t="array" ref="N4">_xlfn.IFS(L4&gt;=75000,"High Value",L4&gt;30000,"Medium Value",L4&lt;30000,"Low Value")</f>
        <v>High Value</v>
      </c>
      <c r="O4" s="8" t="str">
        <f t="shared" ref="O4:O23" si="1">IF(AND(L4&gt;50000,E4="Electronics"),"High Sale","Narmal Sale")</f>
        <v>High Sale</v>
      </c>
      <c r="P4" s="20">
        <f>Table256[[#This Row],[Final Amount]]*0.18</f>
        <v>99000</v>
      </c>
    </row>
    <row r="5" spans="1:16" x14ac:dyDescent="0.25">
      <c r="A5" s="6">
        <v>1002</v>
      </c>
      <c r="B5" s="7">
        <v>46205</v>
      </c>
      <c r="C5" s="8" t="s">
        <v>22</v>
      </c>
      <c r="D5" s="8" t="s">
        <v>23</v>
      </c>
      <c r="E5" s="8" t="s">
        <v>24</v>
      </c>
      <c r="F5" s="8" t="s">
        <v>25</v>
      </c>
      <c r="G5" s="8" t="s">
        <v>26</v>
      </c>
      <c r="H5" s="8">
        <v>5</v>
      </c>
      <c r="I5" s="8">
        <v>3000</v>
      </c>
      <c r="J5" s="8">
        <v>5</v>
      </c>
      <c r="K5" s="8"/>
      <c r="L5" s="9">
        <f>Table256[[#This Row],[Unite price]]*Table256[[#This Row],[Discount]]</f>
        <v>15000</v>
      </c>
      <c r="M5" s="8" t="str">
        <f t="shared" si="0"/>
        <v>Yes</v>
      </c>
      <c r="N5" s="8" t="str" cm="1">
        <f t="array" ref="N5">_xlfn.IFS(L5&gt;=75000,"High Value",L5&gt;30000,"Medium Value",L5&lt;30000,"Low Value")</f>
        <v>Low Value</v>
      </c>
      <c r="O5" s="8" t="str">
        <f t="shared" si="1"/>
        <v>Narmal Sale</v>
      </c>
      <c r="P5" s="8">
        <f>Table256[[#This Row],[Final Amount]]*0.18</f>
        <v>2700</v>
      </c>
    </row>
    <row r="6" spans="1:16" x14ac:dyDescent="0.25">
      <c r="A6" s="6">
        <v>1003</v>
      </c>
      <c r="B6" s="7">
        <v>46206</v>
      </c>
      <c r="C6" s="8" t="s">
        <v>27</v>
      </c>
      <c r="D6" s="8" t="s">
        <v>28</v>
      </c>
      <c r="E6" s="8" t="s">
        <v>19</v>
      </c>
      <c r="F6" s="8" t="s">
        <v>29</v>
      </c>
      <c r="G6" s="8" t="s">
        <v>21</v>
      </c>
      <c r="H6" s="8">
        <v>3</v>
      </c>
      <c r="I6" s="8">
        <v>20000</v>
      </c>
      <c r="J6" s="8">
        <v>8</v>
      </c>
      <c r="K6" s="8" t="str" cm="1">
        <f t="array" ref="K6">_xlfn.IFS(Table256[[#This Row],[Sales person]]="priya","Senior Staff",Table256[[#This Row],[Sales person]]="Ravi","Senior Staff")</f>
        <v>Senior Staff</v>
      </c>
      <c r="L6" s="9">
        <f>Table256[[#This Row],[Unite price]]*Table256[[#This Row],[Discount]]</f>
        <v>160000</v>
      </c>
      <c r="M6" s="8" t="str">
        <f t="shared" si="0"/>
        <v>No</v>
      </c>
      <c r="N6" s="8" t="str" cm="1">
        <f t="array" ref="N6">_xlfn.IFS(L6&gt;=75000,"High Value",L6&gt;30000,"Medium Value",L6&lt;30000,"Low Value")</f>
        <v>High Value</v>
      </c>
      <c r="O6" s="8" t="str">
        <f t="shared" si="1"/>
        <v>High Sale</v>
      </c>
      <c r="P6" s="8">
        <f>Table256[[#This Row],[Final Amount]]*0.18</f>
        <v>28800</v>
      </c>
    </row>
    <row r="7" spans="1:16" x14ac:dyDescent="0.25">
      <c r="A7" s="6">
        <v>1004</v>
      </c>
      <c r="B7" s="7">
        <v>46207</v>
      </c>
      <c r="C7" s="8" t="s">
        <v>30</v>
      </c>
      <c r="D7" s="8" t="s">
        <v>31</v>
      </c>
      <c r="E7" s="8" t="s">
        <v>24</v>
      </c>
      <c r="F7" s="8" t="s">
        <v>32</v>
      </c>
      <c r="G7" s="8" t="s">
        <v>33</v>
      </c>
      <c r="H7" s="8">
        <v>2</v>
      </c>
      <c r="I7" s="8">
        <v>7000</v>
      </c>
      <c r="J7" s="8">
        <v>6</v>
      </c>
      <c r="K7" s="8" t="str" cm="1">
        <f t="array" ref="K7">_xlfn.IFS(Table256[[#This Row],[Sales person]]="priya","Senior Staff",Table256[[#This Row],[Sales person]]="Ravi","Senior Staff")</f>
        <v>Senior Staff</v>
      </c>
      <c r="L7" s="9">
        <f>Table256[[#This Row],[Unite price]]*Table256[[#This Row],[Discount]]</f>
        <v>42000</v>
      </c>
      <c r="M7" s="8" t="str">
        <f t="shared" si="0"/>
        <v>No</v>
      </c>
      <c r="N7" s="8" t="str" cm="1">
        <f t="array" ref="N7">_xlfn.IFS(L7&gt;=75000,"High Value",L7&gt;30000,"Medium Value",L7&lt;30000,"Low Value")</f>
        <v>Medium Value</v>
      </c>
      <c r="O7" s="8" t="str">
        <f t="shared" si="1"/>
        <v>Narmal Sale</v>
      </c>
      <c r="P7" s="8">
        <f>Table256[[#This Row],[Final Amount]]*0.18</f>
        <v>7560</v>
      </c>
    </row>
    <row r="8" spans="1:16" x14ac:dyDescent="0.25">
      <c r="A8" s="6">
        <v>1005</v>
      </c>
      <c r="B8" s="7">
        <v>46208</v>
      </c>
      <c r="C8" s="8" t="s">
        <v>34</v>
      </c>
      <c r="D8" s="8" t="s">
        <v>35</v>
      </c>
      <c r="E8" s="8" t="s">
        <v>19</v>
      </c>
      <c r="F8" s="8" t="s">
        <v>36</v>
      </c>
      <c r="G8" s="8" t="s">
        <v>26</v>
      </c>
      <c r="H8" s="8">
        <v>4</v>
      </c>
      <c r="I8" s="8">
        <v>15000</v>
      </c>
      <c r="J8" s="8">
        <v>12</v>
      </c>
      <c r="K8" s="8"/>
      <c r="L8" s="9">
        <f>Table256[[#This Row],[Unite price]]*Table256[[#This Row],[Discount]]</f>
        <v>180000</v>
      </c>
      <c r="M8" s="8" t="str">
        <f t="shared" si="0"/>
        <v>Yes</v>
      </c>
      <c r="N8" s="8" t="str" cm="1">
        <f t="array" ref="N8">_xlfn.IFS(L8&gt;=75000,"High Value",L8&gt;30000,"Medium Value",L8&lt;30000,"Low Value")</f>
        <v>High Value</v>
      </c>
      <c r="O8" s="8" t="str">
        <f t="shared" si="1"/>
        <v>High Sale</v>
      </c>
      <c r="P8" s="8">
        <f>Table256[[#This Row],[Final Amount]]*0.18</f>
        <v>32400</v>
      </c>
    </row>
    <row r="9" spans="1:16" x14ac:dyDescent="0.25">
      <c r="A9" s="6">
        <v>1006</v>
      </c>
      <c r="B9" s="7">
        <v>46209</v>
      </c>
      <c r="C9" s="8" t="s">
        <v>37</v>
      </c>
      <c r="D9" s="8" t="s">
        <v>38</v>
      </c>
      <c r="E9" s="8" t="s">
        <v>19</v>
      </c>
      <c r="F9" s="8" t="s">
        <v>20</v>
      </c>
      <c r="G9" s="8" t="s">
        <v>33</v>
      </c>
      <c r="H9" s="8">
        <v>3</v>
      </c>
      <c r="I9" s="8">
        <v>18000</v>
      </c>
      <c r="J9" s="8">
        <v>10</v>
      </c>
      <c r="K9" s="8" t="str" cm="1">
        <f t="array" ref="K9">_xlfn.IFS(Table256[[#This Row],[Sales person]]="priya","Senior Staff",Table256[[#This Row],[Sales person]]="Ravi","Senior Staff")</f>
        <v>Senior Staff</v>
      </c>
      <c r="L9" s="9">
        <f>Table256[[#This Row],[Unite price]]*Table256[[#This Row],[Discount]]</f>
        <v>180000</v>
      </c>
      <c r="M9" s="8" t="str">
        <f t="shared" si="0"/>
        <v>No</v>
      </c>
      <c r="N9" s="8" t="str" cm="1">
        <f t="array" ref="N9">_xlfn.IFS(L9&gt;=75000,"High Value",L9&gt;30000,"Medium Value",L9&lt;30000,"Low Value")</f>
        <v>High Value</v>
      </c>
      <c r="O9" s="8" t="str">
        <f t="shared" si="1"/>
        <v>High Sale</v>
      </c>
      <c r="P9" s="8">
        <f>Table256[[#This Row],[Final Amount]]*0.18</f>
        <v>32400</v>
      </c>
    </row>
    <row r="10" spans="1:16" x14ac:dyDescent="0.25">
      <c r="A10" s="6">
        <v>1007</v>
      </c>
      <c r="B10" s="7">
        <v>46210</v>
      </c>
      <c r="C10" s="8" t="s">
        <v>39</v>
      </c>
      <c r="D10" s="8" t="s">
        <v>40</v>
      </c>
      <c r="E10" s="8" t="s">
        <v>24</v>
      </c>
      <c r="F10" s="8" t="s">
        <v>25</v>
      </c>
      <c r="G10" s="8" t="s">
        <v>21</v>
      </c>
      <c r="H10" s="8">
        <v>1</v>
      </c>
      <c r="I10" s="8">
        <v>25000</v>
      </c>
      <c r="J10" s="8">
        <v>15</v>
      </c>
      <c r="K10" s="8" t="str" cm="1">
        <f t="array" ref="K10">_xlfn.IFS(Table256[[#This Row],[Sales person]]="priya","Senior Staff",Table256[[#This Row],[Sales person]]="Ravi","Senior Staff")</f>
        <v>Senior Staff</v>
      </c>
      <c r="L10" s="9">
        <f>Table256[[#This Row],[Unite price]]*Table256[[#This Row],[Discount]]</f>
        <v>375000</v>
      </c>
      <c r="M10" s="8" t="str">
        <f t="shared" si="0"/>
        <v>No</v>
      </c>
      <c r="N10" s="8" t="str" cm="1">
        <f t="array" ref="N10">_xlfn.IFS(L10&gt;=75000,"High Value",L10&gt;30000,"Medium Value",L10&lt;30000,"Low Value")</f>
        <v>High Value</v>
      </c>
      <c r="O10" s="8" t="str">
        <f t="shared" si="1"/>
        <v>Narmal Sale</v>
      </c>
      <c r="P10" s="8">
        <f>Table256[[#This Row],[Final Amount]]*0.18</f>
        <v>67500</v>
      </c>
    </row>
    <row r="11" spans="1:16" x14ac:dyDescent="0.25">
      <c r="A11" s="6">
        <v>1008</v>
      </c>
      <c r="B11" s="7">
        <v>46211</v>
      </c>
      <c r="C11" s="8" t="s">
        <v>41</v>
      </c>
      <c r="D11" s="8" t="s">
        <v>42</v>
      </c>
      <c r="E11" s="8" t="s">
        <v>19</v>
      </c>
      <c r="F11" s="8" t="s">
        <v>32</v>
      </c>
      <c r="G11" s="8" t="s">
        <v>26</v>
      </c>
      <c r="H11" s="8">
        <v>6</v>
      </c>
      <c r="I11" s="8">
        <v>1500</v>
      </c>
      <c r="J11" s="8">
        <v>5</v>
      </c>
      <c r="K11" s="8"/>
      <c r="L11" s="9">
        <f>Table256[[#This Row],[Unite price]]*Table256[[#This Row],[Discount]]</f>
        <v>7500</v>
      </c>
      <c r="M11" s="8" t="str">
        <f t="shared" si="0"/>
        <v>Yes</v>
      </c>
      <c r="N11" s="8" t="str" cm="1">
        <f t="array" ref="N11">_xlfn.IFS(L11&gt;=75000,"High Value",L11&gt;30000,"Medium Value",L11&lt;30000,"Low Value")</f>
        <v>Low Value</v>
      </c>
      <c r="O11" s="8" t="str">
        <f t="shared" si="1"/>
        <v>Narmal Sale</v>
      </c>
      <c r="P11" s="8">
        <f>Table256[[#This Row],[Final Amount]]*0.18</f>
        <v>1350</v>
      </c>
    </row>
    <row r="12" spans="1:16" x14ac:dyDescent="0.25">
      <c r="A12" s="6">
        <v>1009</v>
      </c>
      <c r="B12" s="7">
        <v>46212</v>
      </c>
      <c r="C12" s="8" t="s">
        <v>43</v>
      </c>
      <c r="D12" s="8" t="s">
        <v>44</v>
      </c>
      <c r="E12" s="8" t="s">
        <v>24</v>
      </c>
      <c r="F12" s="8" t="s">
        <v>29</v>
      </c>
      <c r="G12" s="8" t="s">
        <v>33</v>
      </c>
      <c r="H12" s="8">
        <v>2</v>
      </c>
      <c r="I12" s="8">
        <v>18000</v>
      </c>
      <c r="J12" s="8">
        <v>8</v>
      </c>
      <c r="K12" s="8" t="str" cm="1">
        <f t="array" ref="K12">_xlfn.IFS(Table256[[#This Row],[Sales person]]="priya","Senior Staff",Table256[[#This Row],[Sales person]]="Ravi","Senior Staff")</f>
        <v>Senior Staff</v>
      </c>
      <c r="L12" s="9">
        <f>Table256[[#This Row],[Unite price]]*Table256[[#This Row],[Discount]]</f>
        <v>144000</v>
      </c>
      <c r="M12" s="8" t="str">
        <f t="shared" si="0"/>
        <v>No</v>
      </c>
      <c r="N12" s="8" t="str" cm="1">
        <f t="array" ref="N12">_xlfn.IFS(L12&gt;=75000,"High Value",L12&gt;30000,"Medium Value",L12&lt;30000,"Low Value")</f>
        <v>High Value</v>
      </c>
      <c r="O12" s="8" t="str">
        <f t="shared" si="1"/>
        <v>Narmal Sale</v>
      </c>
      <c r="P12" s="8">
        <f>Table256[[#This Row],[Final Amount]]*0.18</f>
        <v>25920</v>
      </c>
    </row>
    <row r="13" spans="1:16" x14ac:dyDescent="0.25">
      <c r="A13" s="6">
        <v>1010</v>
      </c>
      <c r="B13" s="7">
        <v>46213</v>
      </c>
      <c r="C13" s="8" t="s">
        <v>45</v>
      </c>
      <c r="D13" s="8" t="s">
        <v>46</v>
      </c>
      <c r="E13" s="8" t="s">
        <v>19</v>
      </c>
      <c r="F13" s="8" t="s">
        <v>36</v>
      </c>
      <c r="G13" s="8" t="s">
        <v>21</v>
      </c>
      <c r="H13" s="8">
        <v>10</v>
      </c>
      <c r="I13" s="8">
        <v>800</v>
      </c>
      <c r="J13" s="8">
        <v>3</v>
      </c>
      <c r="K13" s="8" t="str" cm="1">
        <f t="array" ref="K13">_xlfn.IFS(Table256[[#This Row],[Sales person]]="priya","Senior Staff",Table256[[#This Row],[Sales person]]="Ravi","Senior Staff")</f>
        <v>Senior Staff</v>
      </c>
      <c r="L13" s="9">
        <f>Table256[[#This Row],[Unite price]]*Table256[[#This Row],[Discount]]</f>
        <v>2400</v>
      </c>
      <c r="M13" s="8" t="str">
        <f t="shared" si="0"/>
        <v>No</v>
      </c>
      <c r="N13" s="8" t="str" cm="1">
        <f t="array" ref="N13">_xlfn.IFS(L13&gt;=75000,"High Value",L13&gt;30000,"Medium Value",L13&lt;30000,"Low Value")</f>
        <v>Low Value</v>
      </c>
      <c r="O13" s="8" t="str">
        <f t="shared" si="1"/>
        <v>Narmal Sale</v>
      </c>
      <c r="P13" s="8">
        <f>Table256[[#This Row],[Final Amount]]*0.18</f>
        <v>432</v>
      </c>
    </row>
    <row r="14" spans="1:16" x14ac:dyDescent="0.25">
      <c r="A14" s="6">
        <v>1011</v>
      </c>
      <c r="B14" s="7">
        <v>46214</v>
      </c>
      <c r="C14" s="8" t="s">
        <v>47</v>
      </c>
      <c r="D14" s="8" t="s">
        <v>48</v>
      </c>
      <c r="E14" s="8" t="s">
        <v>24</v>
      </c>
      <c r="F14" s="8" t="s">
        <v>20</v>
      </c>
      <c r="G14" s="8" t="s">
        <v>26</v>
      </c>
      <c r="H14" s="8">
        <v>2</v>
      </c>
      <c r="I14" s="8">
        <v>30000</v>
      </c>
      <c r="J14" s="8">
        <v>10</v>
      </c>
      <c r="K14" s="8"/>
      <c r="L14" s="9">
        <f>Table256[[#This Row],[Unite price]]*Table256[[#This Row],[Discount]]</f>
        <v>300000</v>
      </c>
      <c r="M14" s="8" t="str">
        <f t="shared" si="0"/>
        <v>No</v>
      </c>
      <c r="N14" s="8" t="str" cm="1">
        <f t="array" ref="N14">_xlfn.IFS(L14&gt;=75000,"High Value",L14&gt;30000,"Medium Value",L14&lt;30000,"Low Value")</f>
        <v>High Value</v>
      </c>
      <c r="O14" s="8" t="str">
        <f t="shared" si="1"/>
        <v>Narmal Sale</v>
      </c>
      <c r="P14" s="8">
        <f>Table256[[#This Row],[Final Amount]]*0.18</f>
        <v>54000</v>
      </c>
    </row>
    <row r="15" spans="1:16" x14ac:dyDescent="0.25">
      <c r="A15" s="6">
        <v>1012</v>
      </c>
      <c r="B15" s="7">
        <v>46215</v>
      </c>
      <c r="C15" s="8" t="s">
        <v>49</v>
      </c>
      <c r="D15" s="8" t="s">
        <v>50</v>
      </c>
      <c r="E15" s="8" t="s">
        <v>19</v>
      </c>
      <c r="F15" s="8" t="s">
        <v>25</v>
      </c>
      <c r="G15" s="8" t="s">
        <v>33</v>
      </c>
      <c r="H15" s="8">
        <v>5</v>
      </c>
      <c r="I15" s="8">
        <v>2500</v>
      </c>
      <c r="J15" s="8">
        <v>7</v>
      </c>
      <c r="K15" s="8" t="str" cm="1">
        <f t="array" ref="K15">_xlfn.IFS(Table256[[#This Row],[Sales person]]="priya","Senior Staff",Table256[[#This Row],[Sales person]]="Ravi","Senior Staff")</f>
        <v>Senior Staff</v>
      </c>
      <c r="L15" s="9">
        <f>Table256[[#This Row],[Unite price]]*Table256[[#This Row],[Discount]]</f>
        <v>17500</v>
      </c>
      <c r="M15" s="8" t="str">
        <f t="shared" si="0"/>
        <v>Yes</v>
      </c>
      <c r="N15" s="8" t="str" cm="1">
        <f t="array" ref="N15">_xlfn.IFS(L15&gt;=75000,"High Value",L15&gt;30000,"Medium Value",L15&lt;30000,"Low Value")</f>
        <v>Low Value</v>
      </c>
      <c r="O15" s="8" t="str">
        <f t="shared" si="1"/>
        <v>Narmal Sale</v>
      </c>
      <c r="P15" s="8">
        <f>Table256[[#This Row],[Final Amount]]*0.18</f>
        <v>3150</v>
      </c>
    </row>
    <row r="16" spans="1:16" x14ac:dyDescent="0.25">
      <c r="A16" s="6">
        <v>1013</v>
      </c>
      <c r="B16" s="7">
        <v>46216</v>
      </c>
      <c r="C16" s="8" t="s">
        <v>51</v>
      </c>
      <c r="D16" s="8" t="s">
        <v>52</v>
      </c>
      <c r="E16" s="8" t="s">
        <v>24</v>
      </c>
      <c r="F16" s="8" t="s">
        <v>32</v>
      </c>
      <c r="G16" s="8" t="s">
        <v>21</v>
      </c>
      <c r="H16" s="8">
        <v>2</v>
      </c>
      <c r="I16" s="8">
        <v>22000</v>
      </c>
      <c r="J16" s="8">
        <v>12</v>
      </c>
      <c r="K16" s="8" t="str" cm="1">
        <f t="array" ref="K16">_xlfn.IFS(Table256[[#This Row],[Sales person]]="priya","Senior Staff",Table256[[#This Row],[Sales person]]="Ravi","Senior Staff")</f>
        <v>Senior Staff</v>
      </c>
      <c r="L16" s="9">
        <f>Table256[[#This Row],[Unite price]]*Table256[[#This Row],[Discount]]</f>
        <v>264000</v>
      </c>
      <c r="M16" s="8" t="str">
        <f t="shared" si="0"/>
        <v>No</v>
      </c>
      <c r="N16" s="8" t="str" cm="1">
        <f t="array" ref="N16">_xlfn.IFS(L16&gt;=75000,"High Value",L16&gt;30000,"Medium Value",L16&lt;30000,"Low Value")</f>
        <v>High Value</v>
      </c>
      <c r="O16" s="8" t="str">
        <f t="shared" si="1"/>
        <v>Narmal Sale</v>
      </c>
      <c r="P16" s="8">
        <f>Table256[[#This Row],[Final Amount]]*0.18</f>
        <v>47520</v>
      </c>
    </row>
    <row r="17" spans="1:16" x14ac:dyDescent="0.25">
      <c r="A17" s="6">
        <v>1014</v>
      </c>
      <c r="B17" s="7">
        <v>46217</v>
      </c>
      <c r="C17" s="8" t="s">
        <v>53</v>
      </c>
      <c r="D17" s="8" t="s">
        <v>54</v>
      </c>
      <c r="E17" s="8" t="s">
        <v>19</v>
      </c>
      <c r="F17" s="8" t="s">
        <v>29</v>
      </c>
      <c r="G17" s="8" t="s">
        <v>26</v>
      </c>
      <c r="H17" s="8">
        <v>4</v>
      </c>
      <c r="I17" s="8">
        <v>12000</v>
      </c>
      <c r="J17" s="8">
        <v>5</v>
      </c>
      <c r="K17" s="8"/>
      <c r="L17" s="9">
        <f>Table256[[#This Row],[Unite price]]*Table256[[#This Row],[Discount]]</f>
        <v>60000</v>
      </c>
      <c r="M17" s="8" t="str">
        <f t="shared" si="0"/>
        <v>Yes</v>
      </c>
      <c r="N17" s="8" t="str" cm="1">
        <f t="array" ref="N17">_xlfn.IFS(L17&gt;=75000,"High Value",L17&gt;30000,"Medium Value",L17&lt;30000,"Low Value")</f>
        <v>Medium Value</v>
      </c>
      <c r="O17" s="8" t="str">
        <f t="shared" si="1"/>
        <v>High Sale</v>
      </c>
      <c r="P17" s="8">
        <f>Table256[[#This Row],[Final Amount]]*0.18</f>
        <v>10800</v>
      </c>
    </row>
    <row r="18" spans="1:16" x14ac:dyDescent="0.25">
      <c r="A18" s="6">
        <v>1015</v>
      </c>
      <c r="B18" s="7">
        <v>46218</v>
      </c>
      <c r="C18" s="8" t="s">
        <v>55</v>
      </c>
      <c r="D18" s="8" t="s">
        <v>56</v>
      </c>
      <c r="E18" s="8" t="s">
        <v>24</v>
      </c>
      <c r="F18" s="8" t="s">
        <v>36</v>
      </c>
      <c r="G18" s="8" t="s">
        <v>33</v>
      </c>
      <c r="H18" s="8">
        <v>3</v>
      </c>
      <c r="I18" s="8">
        <v>7000</v>
      </c>
      <c r="J18" s="8">
        <v>6</v>
      </c>
      <c r="K18" s="8" t="str" cm="1">
        <f t="array" ref="K18">_xlfn.IFS(Table256[[#This Row],[Sales person]]="priya","Senior Staff",Table256[[#This Row],[Sales person]]="Ravi","Senior Staff")</f>
        <v>Senior Staff</v>
      </c>
      <c r="L18" s="9">
        <f>Table256[[#This Row],[Unite price]]*Table256[[#This Row],[Discount]]</f>
        <v>42000</v>
      </c>
      <c r="M18" s="8" t="str">
        <f t="shared" si="0"/>
        <v>No</v>
      </c>
      <c r="N18" s="8" t="str" cm="1">
        <f t="array" ref="N18">_xlfn.IFS(L18&gt;=75000,"High Value",L18&gt;30000,"Medium Value",L18&lt;30000,"Low Value")</f>
        <v>Medium Value</v>
      </c>
      <c r="O18" s="8" t="str">
        <f t="shared" si="1"/>
        <v>Narmal Sale</v>
      </c>
      <c r="P18" s="8">
        <f>Table256[[#This Row],[Final Amount]]*0.18</f>
        <v>7560</v>
      </c>
    </row>
    <row r="19" spans="1:16" x14ac:dyDescent="0.25">
      <c r="A19" s="6">
        <v>1016</v>
      </c>
      <c r="B19" s="7">
        <v>46219</v>
      </c>
      <c r="C19" s="8" t="s">
        <v>57</v>
      </c>
      <c r="D19" s="8" t="s">
        <v>58</v>
      </c>
      <c r="E19" s="8" t="s">
        <v>19</v>
      </c>
      <c r="F19" s="8" t="s">
        <v>20</v>
      </c>
      <c r="G19" s="8" t="s">
        <v>21</v>
      </c>
      <c r="H19" s="8">
        <v>2</v>
      </c>
      <c r="I19" s="8">
        <v>28000</v>
      </c>
      <c r="J19" s="8">
        <v>9</v>
      </c>
      <c r="K19" s="8" t="str" cm="1">
        <f t="array" ref="K19">_xlfn.IFS(Table256[[#This Row],[Sales person]]="priya","Senior Staff",Table256[[#This Row],[Sales person]]="Ravi","Senior Staff")</f>
        <v>Senior Staff</v>
      </c>
      <c r="L19" s="9">
        <f>Table256[[#This Row],[Unite price]]*Table256[[#This Row],[Discount]]</f>
        <v>252000</v>
      </c>
      <c r="M19" s="8" t="str">
        <f t="shared" si="0"/>
        <v>No</v>
      </c>
      <c r="N19" s="8" t="str" cm="1">
        <f t="array" ref="N19">_xlfn.IFS(L19&gt;=75000,"High Value",L19&gt;30000,"Medium Value",L19&lt;30000,"Low Value")</f>
        <v>High Value</v>
      </c>
      <c r="O19" s="8" t="str">
        <f t="shared" si="1"/>
        <v>High Sale</v>
      </c>
      <c r="P19" s="8">
        <f>Table256[[#This Row],[Final Amount]]*0.18</f>
        <v>45360</v>
      </c>
    </row>
    <row r="20" spans="1:16" x14ac:dyDescent="0.25">
      <c r="A20" s="6">
        <v>1017</v>
      </c>
      <c r="B20" s="7">
        <v>46220</v>
      </c>
      <c r="C20" s="8" t="s">
        <v>59</v>
      </c>
      <c r="D20" s="8" t="s">
        <v>60</v>
      </c>
      <c r="E20" s="8" t="s">
        <v>24</v>
      </c>
      <c r="F20" s="8" t="s">
        <v>25</v>
      </c>
      <c r="G20" s="8" t="s">
        <v>26</v>
      </c>
      <c r="H20" s="8">
        <v>4</v>
      </c>
      <c r="I20" s="8">
        <v>6500</v>
      </c>
      <c r="J20" s="8">
        <v>10</v>
      </c>
      <c r="K20" s="8"/>
      <c r="L20" s="9">
        <f>Table256[[#This Row],[Unite price]]*Table256[[#This Row],[Discount]]</f>
        <v>65000</v>
      </c>
      <c r="M20" s="8" t="str">
        <f t="shared" si="0"/>
        <v>Yes</v>
      </c>
      <c r="N20" s="8" t="str" cm="1">
        <f t="array" ref="N20">_xlfn.IFS(L20&gt;=75000,"High Value",L20&gt;30000,"Medium Value",L20&lt;30000,"Low Value")</f>
        <v>Medium Value</v>
      </c>
      <c r="O20" s="8" t="str">
        <f t="shared" si="1"/>
        <v>Narmal Sale</v>
      </c>
      <c r="P20" s="8">
        <f>Table256[[#This Row],[Final Amount]]*0.18</f>
        <v>11700</v>
      </c>
    </row>
    <row r="21" spans="1:16" x14ac:dyDescent="0.25">
      <c r="A21" s="6">
        <v>1018</v>
      </c>
      <c r="B21" s="7">
        <v>46221</v>
      </c>
      <c r="C21" s="8" t="s">
        <v>61</v>
      </c>
      <c r="D21" s="8" t="s">
        <v>62</v>
      </c>
      <c r="E21" s="8" t="s">
        <v>19</v>
      </c>
      <c r="F21" s="8" t="s">
        <v>32</v>
      </c>
      <c r="G21" s="8" t="s">
        <v>33</v>
      </c>
      <c r="H21" s="8">
        <v>3</v>
      </c>
      <c r="I21" s="8">
        <v>6000</v>
      </c>
      <c r="J21" s="8">
        <v>8</v>
      </c>
      <c r="K21" s="8" t="str" cm="1">
        <f t="array" ref="K21">_xlfn.IFS(Table256[[#This Row],[Sales person]]="priya","Senior Staff",Table256[[#This Row],[Sales person]]="Ravi","Senior Staff")</f>
        <v>Senior Staff</v>
      </c>
      <c r="L21" s="9">
        <f>Table256[[#This Row],[Unite price]]*Table256[[#This Row],[Discount]]</f>
        <v>48000</v>
      </c>
      <c r="M21" s="8" t="str">
        <f t="shared" si="0"/>
        <v>No</v>
      </c>
      <c r="N21" s="8" t="str" cm="1">
        <f t="array" ref="N21">_xlfn.IFS(L21&gt;=75000,"High Value",L21&gt;30000,"Medium Value",L21&lt;30000,"Low Value")</f>
        <v>Medium Value</v>
      </c>
      <c r="O21" s="8" t="str">
        <f t="shared" si="1"/>
        <v>Narmal Sale</v>
      </c>
      <c r="P21" s="8">
        <f>Table256[[#This Row],[Final Amount]]*0.18</f>
        <v>8640</v>
      </c>
    </row>
    <row r="22" spans="1:16" x14ac:dyDescent="0.25">
      <c r="A22" s="6">
        <v>1019</v>
      </c>
      <c r="B22" s="7">
        <v>46222</v>
      </c>
      <c r="C22" s="8" t="s">
        <v>63</v>
      </c>
      <c r="D22" s="8" t="s">
        <v>64</v>
      </c>
      <c r="E22" s="8" t="s">
        <v>24</v>
      </c>
      <c r="F22" s="8" t="s">
        <v>29</v>
      </c>
      <c r="G22" s="8" t="s">
        <v>21</v>
      </c>
      <c r="H22" s="8">
        <v>2</v>
      </c>
      <c r="I22" s="8">
        <v>9000</v>
      </c>
      <c r="J22" s="8">
        <v>5</v>
      </c>
      <c r="K22" s="8" t="str" cm="1">
        <f t="array" ref="K22">_xlfn.IFS(Table256[[#This Row],[Sales person]]="priya","Senior Staff",Table256[[#This Row],[Sales person]]="Ravi","Senior Staff")</f>
        <v>Senior Staff</v>
      </c>
      <c r="L22" s="9">
        <f>Table256[[#This Row],[Unite price]]*Table256[[#This Row],[Discount]]</f>
        <v>45000</v>
      </c>
      <c r="M22" s="8" t="str">
        <f t="shared" si="0"/>
        <v>No</v>
      </c>
      <c r="N22" s="8" t="str" cm="1">
        <f t="array" ref="N22">_xlfn.IFS(L22&gt;=75000,"High Value",L22&gt;30000,"Medium Value",L22&lt;30000,"Low Value")</f>
        <v>Medium Value</v>
      </c>
      <c r="O22" s="8" t="str">
        <f t="shared" si="1"/>
        <v>Narmal Sale</v>
      </c>
      <c r="P22" s="8">
        <f>Table256[[#This Row],[Final Amount]]*0.18</f>
        <v>8100</v>
      </c>
    </row>
    <row r="23" spans="1:16" x14ac:dyDescent="0.25">
      <c r="A23" s="10">
        <v>1020</v>
      </c>
      <c r="B23" s="11">
        <v>46223</v>
      </c>
      <c r="C23" s="12" t="s">
        <v>65</v>
      </c>
      <c r="D23" s="12" t="s">
        <v>66</v>
      </c>
      <c r="E23" s="12" t="s">
        <v>19</v>
      </c>
      <c r="F23" s="12" t="s">
        <v>36</v>
      </c>
      <c r="G23" s="12" t="s">
        <v>26</v>
      </c>
      <c r="H23" s="12">
        <v>1</v>
      </c>
      <c r="I23" s="12">
        <v>42000</v>
      </c>
      <c r="J23" s="12">
        <v>15</v>
      </c>
      <c r="K23" s="12"/>
      <c r="L23" s="13">
        <f>Table256[[#This Row],[Unite price]]*Table256[[#This Row],[Discount]]</f>
        <v>630000</v>
      </c>
      <c r="M23" s="12" t="str">
        <f t="shared" si="0"/>
        <v>No</v>
      </c>
      <c r="N23" s="8" t="str" cm="1">
        <f t="array" ref="N23">_xlfn.IFS(L23&gt;=75000,"High Value",L23&gt;30000,"Medium Value",L23&lt;30000,"Low Value")</f>
        <v>High Value</v>
      </c>
      <c r="O23" s="8" t="str">
        <f t="shared" si="1"/>
        <v>High Sale</v>
      </c>
      <c r="P23" s="12">
        <f>Table256[[#This Row],[Final Amount]]*0.18</f>
        <v>113400</v>
      </c>
    </row>
    <row r="25" spans="1:16" x14ac:dyDescent="0.25">
      <c r="A25" s="3" t="s">
        <v>67</v>
      </c>
      <c r="B25" s="2"/>
      <c r="C25" s="2"/>
      <c r="E25" s="3" t="s">
        <v>68</v>
      </c>
      <c r="F25" s="2"/>
      <c r="G25" s="2"/>
      <c r="I25" s="22" t="s">
        <v>69</v>
      </c>
      <c r="K25" s="22" t="s">
        <v>70</v>
      </c>
    </row>
    <row r="26" spans="1:16" x14ac:dyDescent="0.25">
      <c r="E26" s="2"/>
      <c r="F26" s="2"/>
      <c r="G26" s="2"/>
      <c r="I26">
        <f>COUNTBLANK(Table256[Customer])</f>
        <v>0</v>
      </c>
      <c r="K26" s="2" t="str">
        <f>_xlfn.XLOOKUP(J2,Table256[O.ID],Table256[Products],"Not Available")</f>
        <v>Not Available</v>
      </c>
    </row>
    <row r="27" spans="1:16" x14ac:dyDescent="0.25">
      <c r="B27" s="5" t="s">
        <v>5</v>
      </c>
      <c r="C27" s="1" t="s">
        <v>19</v>
      </c>
      <c r="E27" s="2"/>
      <c r="F27" s="4" t="s">
        <v>4</v>
      </c>
      <c r="G27" s="2" t="s">
        <v>71</v>
      </c>
    </row>
    <row r="28" spans="1:16" x14ac:dyDescent="0.25">
      <c r="B28" s="2"/>
      <c r="C28" s="2"/>
      <c r="E28" s="2"/>
      <c r="F28" s="2"/>
      <c r="G28" s="2"/>
    </row>
    <row r="29" spans="1:16" x14ac:dyDescent="0.25">
      <c r="B29" s="2" t="s">
        <v>72</v>
      </c>
      <c r="C29" s="2"/>
      <c r="E29" s="2"/>
      <c r="F29" s="2" t="s">
        <v>72</v>
      </c>
      <c r="G29" s="2"/>
    </row>
    <row r="30" spans="1:16" x14ac:dyDescent="0.25">
      <c r="B30">
        <v>200800</v>
      </c>
      <c r="E30" s="2"/>
      <c r="F30" s="2">
        <v>273300</v>
      </c>
      <c r="G30" s="2"/>
    </row>
    <row r="37" spans="1:6" x14ac:dyDescent="0.25">
      <c r="A37" s="41"/>
      <c r="B37" s="42" t="s">
        <v>3</v>
      </c>
      <c r="C37" s="42" t="s">
        <v>8</v>
      </c>
      <c r="D37" s="42" t="s">
        <v>9</v>
      </c>
      <c r="E37" s="42" t="s">
        <v>100</v>
      </c>
      <c r="F37" s="42" t="s">
        <v>99</v>
      </c>
    </row>
    <row r="38" spans="1:6" x14ac:dyDescent="0.25">
      <c r="A38" s="41"/>
      <c r="B38" s="8" t="s">
        <v>17</v>
      </c>
      <c r="C38" s="8">
        <v>2</v>
      </c>
      <c r="D38" s="8">
        <v>55000</v>
      </c>
      <c r="E38" s="8">
        <f>C38*D38</f>
        <v>110000</v>
      </c>
      <c r="F38" s="8">
        <f>E38-(E38*J4/100)</f>
        <v>99000</v>
      </c>
    </row>
    <row r="39" spans="1:6" x14ac:dyDescent="0.25">
      <c r="A39" s="41"/>
      <c r="B39" s="8" t="s">
        <v>22</v>
      </c>
      <c r="C39" s="8">
        <v>5</v>
      </c>
      <c r="D39" s="8">
        <v>3000</v>
      </c>
      <c r="E39" s="8">
        <f t="shared" ref="E39:E57" si="2">C39*D39</f>
        <v>15000</v>
      </c>
      <c r="F39" s="8">
        <f t="shared" ref="F39:F57" si="3">E39-(E39*J5/100)</f>
        <v>14250</v>
      </c>
    </row>
    <row r="40" spans="1:6" x14ac:dyDescent="0.25">
      <c r="A40" s="41"/>
      <c r="B40" s="8" t="s">
        <v>27</v>
      </c>
      <c r="C40" s="8">
        <v>3</v>
      </c>
      <c r="D40" s="8">
        <v>20000</v>
      </c>
      <c r="E40" s="8">
        <f t="shared" si="2"/>
        <v>60000</v>
      </c>
      <c r="F40" s="8">
        <f t="shared" si="3"/>
        <v>55200</v>
      </c>
    </row>
    <row r="41" spans="1:6" x14ac:dyDescent="0.25">
      <c r="A41" s="41"/>
      <c r="B41" s="8" t="s">
        <v>30</v>
      </c>
      <c r="C41" s="8">
        <v>2</v>
      </c>
      <c r="D41" s="8">
        <v>7000</v>
      </c>
      <c r="E41" s="8">
        <f t="shared" si="2"/>
        <v>14000</v>
      </c>
      <c r="F41" s="8">
        <f t="shared" si="3"/>
        <v>13160</v>
      </c>
    </row>
    <row r="42" spans="1:6" x14ac:dyDescent="0.25">
      <c r="A42" s="41"/>
      <c r="B42" s="8" t="s">
        <v>34</v>
      </c>
      <c r="C42" s="8">
        <v>4</v>
      </c>
      <c r="D42" s="8">
        <v>15000</v>
      </c>
      <c r="E42" s="8">
        <f t="shared" si="2"/>
        <v>60000</v>
      </c>
      <c r="F42" s="8">
        <f t="shared" si="3"/>
        <v>52800</v>
      </c>
    </row>
    <row r="43" spans="1:6" x14ac:dyDescent="0.25">
      <c r="A43" s="41"/>
      <c r="B43" s="8" t="s">
        <v>37</v>
      </c>
      <c r="C43" s="8">
        <v>3</v>
      </c>
      <c r="D43" s="8">
        <v>18000</v>
      </c>
      <c r="E43" s="8">
        <f t="shared" si="2"/>
        <v>54000</v>
      </c>
      <c r="F43" s="8">
        <f t="shared" si="3"/>
        <v>48600</v>
      </c>
    </row>
    <row r="44" spans="1:6" x14ac:dyDescent="0.25">
      <c r="A44" s="41"/>
      <c r="B44" s="8" t="s">
        <v>39</v>
      </c>
      <c r="C44" s="8">
        <v>1</v>
      </c>
      <c r="D44" s="8">
        <v>25000</v>
      </c>
      <c r="E44" s="8">
        <f t="shared" si="2"/>
        <v>25000</v>
      </c>
      <c r="F44" s="8">
        <f t="shared" si="3"/>
        <v>21250</v>
      </c>
    </row>
    <row r="45" spans="1:6" x14ac:dyDescent="0.25">
      <c r="A45" s="41"/>
      <c r="B45" s="8" t="s">
        <v>41</v>
      </c>
      <c r="C45" s="8">
        <v>6</v>
      </c>
      <c r="D45" s="8">
        <v>1500</v>
      </c>
      <c r="E45" s="8">
        <f t="shared" si="2"/>
        <v>9000</v>
      </c>
      <c r="F45" s="8">
        <f t="shared" si="3"/>
        <v>8550</v>
      </c>
    </row>
    <row r="46" spans="1:6" x14ac:dyDescent="0.25">
      <c r="A46" s="41"/>
      <c r="B46" s="8" t="s">
        <v>43</v>
      </c>
      <c r="C46" s="8">
        <v>2</v>
      </c>
      <c r="D46" s="8">
        <v>18000</v>
      </c>
      <c r="E46" s="8">
        <f t="shared" si="2"/>
        <v>36000</v>
      </c>
      <c r="F46" s="8">
        <f t="shared" si="3"/>
        <v>33120</v>
      </c>
    </row>
    <row r="47" spans="1:6" x14ac:dyDescent="0.25">
      <c r="A47" s="41"/>
      <c r="B47" s="8" t="s">
        <v>45</v>
      </c>
      <c r="C47" s="8">
        <v>10</v>
      </c>
      <c r="D47" s="8">
        <v>800</v>
      </c>
      <c r="E47" s="8">
        <f t="shared" si="2"/>
        <v>8000</v>
      </c>
      <c r="F47" s="8">
        <f t="shared" si="3"/>
        <v>7760</v>
      </c>
    </row>
    <row r="48" spans="1:6" x14ac:dyDescent="0.25">
      <c r="A48" s="41"/>
      <c r="B48" s="8" t="s">
        <v>47</v>
      </c>
      <c r="C48" s="8">
        <v>2</v>
      </c>
      <c r="D48" s="8">
        <v>30000</v>
      </c>
      <c r="E48" s="8">
        <f t="shared" si="2"/>
        <v>60000</v>
      </c>
      <c r="F48" s="8">
        <f t="shared" si="3"/>
        <v>54000</v>
      </c>
    </row>
    <row r="49" spans="1:6" x14ac:dyDescent="0.25">
      <c r="A49" s="41"/>
      <c r="B49" s="8" t="s">
        <v>49</v>
      </c>
      <c r="C49" s="8">
        <v>5</v>
      </c>
      <c r="D49" s="8">
        <v>2500</v>
      </c>
      <c r="E49" s="8">
        <f t="shared" si="2"/>
        <v>12500</v>
      </c>
      <c r="F49" s="8">
        <f t="shared" si="3"/>
        <v>11625</v>
      </c>
    </row>
    <row r="50" spans="1:6" x14ac:dyDescent="0.25">
      <c r="A50" s="41"/>
      <c r="B50" s="8" t="s">
        <v>51</v>
      </c>
      <c r="C50" s="8">
        <v>2</v>
      </c>
      <c r="D50" s="8">
        <v>22000</v>
      </c>
      <c r="E50" s="8">
        <f t="shared" si="2"/>
        <v>44000</v>
      </c>
      <c r="F50" s="8">
        <f t="shared" si="3"/>
        <v>38720</v>
      </c>
    </row>
    <row r="51" spans="1:6" x14ac:dyDescent="0.25">
      <c r="A51" s="41"/>
      <c r="B51" s="8" t="s">
        <v>53</v>
      </c>
      <c r="C51" s="8">
        <v>4</v>
      </c>
      <c r="D51" s="8">
        <v>12000</v>
      </c>
      <c r="E51" s="8">
        <f t="shared" si="2"/>
        <v>48000</v>
      </c>
      <c r="F51" s="8">
        <f t="shared" si="3"/>
        <v>45600</v>
      </c>
    </row>
    <row r="52" spans="1:6" x14ac:dyDescent="0.25">
      <c r="A52" s="41"/>
      <c r="B52" s="8" t="s">
        <v>55</v>
      </c>
      <c r="C52" s="8">
        <v>3</v>
      </c>
      <c r="D52" s="8">
        <v>7000</v>
      </c>
      <c r="E52" s="8">
        <f t="shared" si="2"/>
        <v>21000</v>
      </c>
      <c r="F52" s="8">
        <f t="shared" si="3"/>
        <v>19740</v>
      </c>
    </row>
    <row r="53" spans="1:6" x14ac:dyDescent="0.25">
      <c r="A53" s="41"/>
      <c r="B53" s="8" t="s">
        <v>57</v>
      </c>
      <c r="C53" s="8">
        <v>2</v>
      </c>
      <c r="D53" s="8">
        <v>28000</v>
      </c>
      <c r="E53" s="8">
        <f t="shared" si="2"/>
        <v>56000</v>
      </c>
      <c r="F53" s="8">
        <f t="shared" si="3"/>
        <v>50960</v>
      </c>
    </row>
    <row r="54" spans="1:6" x14ac:dyDescent="0.25">
      <c r="A54" s="41"/>
      <c r="B54" s="8" t="s">
        <v>59</v>
      </c>
      <c r="C54" s="8">
        <v>4</v>
      </c>
      <c r="D54" s="8">
        <v>6500</v>
      </c>
      <c r="E54" s="8">
        <f t="shared" si="2"/>
        <v>26000</v>
      </c>
      <c r="F54" s="8">
        <f t="shared" si="3"/>
        <v>23400</v>
      </c>
    </row>
    <row r="55" spans="1:6" x14ac:dyDescent="0.25">
      <c r="A55" s="41"/>
      <c r="B55" s="8" t="s">
        <v>61</v>
      </c>
      <c r="C55" s="8">
        <v>3</v>
      </c>
      <c r="D55" s="8">
        <v>6000</v>
      </c>
      <c r="E55" s="8">
        <f t="shared" si="2"/>
        <v>18000</v>
      </c>
      <c r="F55" s="8">
        <f t="shared" si="3"/>
        <v>16560</v>
      </c>
    </row>
    <row r="56" spans="1:6" x14ac:dyDescent="0.25">
      <c r="A56" s="41"/>
      <c r="B56" s="8" t="s">
        <v>63</v>
      </c>
      <c r="C56" s="8">
        <v>2</v>
      </c>
      <c r="D56" s="8">
        <v>9000</v>
      </c>
      <c r="E56" s="8">
        <f t="shared" si="2"/>
        <v>18000</v>
      </c>
      <c r="F56" s="8">
        <f t="shared" si="3"/>
        <v>17100</v>
      </c>
    </row>
    <row r="57" spans="1:6" x14ac:dyDescent="0.25">
      <c r="B57" s="8" t="s">
        <v>65</v>
      </c>
      <c r="C57" s="8">
        <v>1</v>
      </c>
      <c r="D57" s="8">
        <v>42000</v>
      </c>
      <c r="E57" s="8">
        <f t="shared" si="2"/>
        <v>42000</v>
      </c>
      <c r="F57" s="8">
        <f t="shared" si="3"/>
        <v>35700</v>
      </c>
    </row>
  </sheetData>
  <conditionalFormatting sqref="I4:I23">
    <cfRule type="cellIs" dxfId="10" priority="11" operator="greaterThan">
      <formula>100000</formula>
    </cfRule>
  </conditionalFormatting>
  <conditionalFormatting sqref="L4:L23">
    <cfRule type="cellIs" dxfId="9" priority="10" operator="greaterThan">
      <formula>100000</formula>
    </cfRule>
  </conditionalFormatting>
  <conditionalFormatting sqref="M4:M23">
    <cfRule type="cellIs" dxfId="8" priority="9" operator="equal">
      <formula>"yes"</formula>
    </cfRule>
  </conditionalFormatting>
  <conditionalFormatting sqref="N4:N22">
    <cfRule type="containsText" dxfId="7" priority="4" operator="containsText" text="medium value">
      <formula>NOT(ISERROR(SEARCH("medium value",N4)))</formula>
    </cfRule>
    <cfRule type="containsText" dxfId="6" priority="5" operator="containsText" text="High Value">
      <formula>NOT(ISERROR(SEARCH("High Value",N4)))</formula>
    </cfRule>
  </conditionalFormatting>
  <conditionalFormatting sqref="N4:N23">
    <cfRule type="containsText" dxfId="5" priority="3" operator="containsText" text="low value">
      <formula>NOT(ISERROR(SEARCH("low value",N4)))</formula>
    </cfRule>
    <cfRule type="containsText" dxfId="4" priority="6" operator="containsText" text="High Value ">
      <formula>NOT(ISERROR(SEARCH("High Value ",N4)))</formula>
    </cfRule>
  </conditionalFormatting>
  <conditionalFormatting sqref="N5:N23">
    <cfRule type="containsText" dxfId="3" priority="2" operator="containsText" text="low value">
      <formula>NOT(ISERROR(SEARCH("low value",N5)))</formula>
    </cfRule>
  </conditionalFormatting>
  <conditionalFormatting sqref="O4:O23">
    <cfRule type="containsText" dxfId="2" priority="7" operator="containsText" text="Narmal Sale">
      <formula>NOT(ISERROR(SEARCH("Narmal Sale",O4)))</formula>
    </cfRule>
    <cfRule type="containsText" dxfId="1" priority="8" operator="containsText" text="High Sale">
      <formula>NOT(ISERROR(SEARCH("High Sale",O4)))</formula>
    </cfRule>
  </conditionalFormatting>
  <conditionalFormatting sqref="D38:D57">
    <cfRule type="cellIs" dxfId="0" priority="1" operator="greaterThan">
      <formula>100000</formula>
    </cfRule>
  </conditionalFormatting>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8323C-4407-43BE-9BB1-DBFC41BC661C}">
  <dimension ref="C1:S254"/>
  <sheetViews>
    <sheetView showGridLines="0" zoomScale="55" zoomScaleNormal="55" workbookViewId="0">
      <selection activeCell="J236" sqref="J236"/>
    </sheetView>
  </sheetViews>
  <sheetFormatPr defaultRowHeight="15" x14ac:dyDescent="0.25"/>
  <cols>
    <col min="2" max="2" width="3.85546875" customWidth="1"/>
    <col min="3" max="3" width="12.7109375" bestFit="1" customWidth="1"/>
    <col min="4" max="4" width="22" bestFit="1" customWidth="1"/>
    <col min="5" max="5" width="29" bestFit="1" customWidth="1"/>
    <col min="6" max="6" width="26.85546875" bestFit="1" customWidth="1"/>
    <col min="7" max="7" width="24.42578125" bestFit="1" customWidth="1"/>
    <col min="8" max="8" width="20.7109375" bestFit="1" customWidth="1"/>
    <col min="9" max="9" width="19.85546875" bestFit="1" customWidth="1"/>
    <col min="10" max="10" width="26.85546875" bestFit="1" customWidth="1"/>
    <col min="11" max="11" width="15" bestFit="1" customWidth="1"/>
    <col min="12" max="12" width="26.85546875" bestFit="1" customWidth="1"/>
    <col min="13" max="13" width="15.85546875" bestFit="1" customWidth="1"/>
    <col min="14" max="14" width="22" bestFit="1" customWidth="1"/>
    <col min="15" max="15" width="29" bestFit="1" customWidth="1"/>
    <col min="16" max="16" width="17.28515625" bestFit="1" customWidth="1"/>
    <col min="18" max="18" width="22" bestFit="1" customWidth="1"/>
    <col min="19" max="19" width="29" bestFit="1" customWidth="1"/>
  </cols>
  <sheetData>
    <row r="1" spans="3:4" ht="97.5" x14ac:dyDescent="1.5">
      <c r="C1" s="43" t="s">
        <v>0</v>
      </c>
    </row>
    <row r="6" spans="3:4" x14ac:dyDescent="0.25">
      <c r="C6" s="24" t="s">
        <v>73</v>
      </c>
    </row>
    <row r="8" spans="3:4" x14ac:dyDescent="0.25">
      <c r="C8" s="27" t="s">
        <v>5</v>
      </c>
      <c r="D8" s="28" t="s">
        <v>74</v>
      </c>
    </row>
    <row r="9" spans="3:4" x14ac:dyDescent="0.25">
      <c r="C9" s="8" t="s">
        <v>19</v>
      </c>
      <c r="D9" s="8">
        <v>2087400</v>
      </c>
    </row>
    <row r="10" spans="3:4" x14ac:dyDescent="0.25">
      <c r="C10" s="8" t="s">
        <v>24</v>
      </c>
      <c r="D10" s="8">
        <v>1292000</v>
      </c>
    </row>
    <row r="11" spans="3:4" x14ac:dyDescent="0.25">
      <c r="C11" s="8" t="s">
        <v>75</v>
      </c>
      <c r="D11" s="8">
        <v>3379400</v>
      </c>
    </row>
    <row r="23" spans="3:4" ht="15.75" x14ac:dyDescent="0.25">
      <c r="C23" s="31" t="s">
        <v>76</v>
      </c>
    </row>
    <row r="26" spans="3:4" x14ac:dyDescent="0.25">
      <c r="C26" s="27" t="s">
        <v>77</v>
      </c>
      <c r="D26" s="28" t="s">
        <v>78</v>
      </c>
    </row>
    <row r="27" spans="3:4" x14ac:dyDescent="0.25">
      <c r="C27" s="26" t="s">
        <v>26</v>
      </c>
      <c r="D27" s="8">
        <v>179642.85714285713</v>
      </c>
    </row>
    <row r="28" spans="3:4" x14ac:dyDescent="0.25">
      <c r="C28" s="26" t="s">
        <v>21</v>
      </c>
      <c r="D28" s="8">
        <v>235485.71428571429</v>
      </c>
    </row>
    <row r="29" spans="3:4" x14ac:dyDescent="0.25">
      <c r="C29" s="26" t="s">
        <v>33</v>
      </c>
      <c r="D29" s="8">
        <v>78916.666666666672</v>
      </c>
    </row>
    <row r="30" spans="3:4" x14ac:dyDescent="0.25">
      <c r="C30" s="26" t="s">
        <v>75</v>
      </c>
      <c r="D30" s="8">
        <v>168970</v>
      </c>
    </row>
    <row r="41" spans="3:5" x14ac:dyDescent="0.25">
      <c r="C41" s="3" t="s">
        <v>79</v>
      </c>
    </row>
    <row r="43" spans="3:5" x14ac:dyDescent="0.25">
      <c r="D43" s="27" t="s">
        <v>4</v>
      </c>
      <c r="E43" s="28" t="s">
        <v>80</v>
      </c>
    </row>
    <row r="44" spans="3:5" x14ac:dyDescent="0.25">
      <c r="D44" s="8" t="s">
        <v>66</v>
      </c>
      <c r="E44" s="8">
        <v>1</v>
      </c>
    </row>
    <row r="45" spans="3:5" x14ac:dyDescent="0.25">
      <c r="D45" s="8" t="s">
        <v>48</v>
      </c>
      <c r="E45" s="8">
        <v>2</v>
      </c>
    </row>
    <row r="46" spans="3:5" x14ac:dyDescent="0.25">
      <c r="D46" s="8" t="s">
        <v>56</v>
      </c>
      <c r="E46" s="8">
        <v>3</v>
      </c>
    </row>
    <row r="47" spans="3:5" x14ac:dyDescent="0.25">
      <c r="D47" s="8" t="s">
        <v>23</v>
      </c>
      <c r="E47" s="8">
        <v>5</v>
      </c>
    </row>
    <row r="48" spans="3:5" x14ac:dyDescent="0.25">
      <c r="D48" s="8" t="s">
        <v>52</v>
      </c>
      <c r="E48" s="8">
        <v>2</v>
      </c>
    </row>
    <row r="49" spans="4:5" x14ac:dyDescent="0.25">
      <c r="D49" s="8" t="s">
        <v>44</v>
      </c>
      <c r="E49" s="8">
        <v>2</v>
      </c>
    </row>
    <row r="50" spans="4:5" x14ac:dyDescent="0.25">
      <c r="D50" s="8" t="s">
        <v>62</v>
      </c>
      <c r="E50" s="8">
        <v>3</v>
      </c>
    </row>
    <row r="51" spans="4:5" x14ac:dyDescent="0.25">
      <c r="D51" s="8" t="s">
        <v>50</v>
      </c>
      <c r="E51" s="8">
        <v>5</v>
      </c>
    </row>
    <row r="52" spans="4:5" x14ac:dyDescent="0.25">
      <c r="D52" s="8" t="s">
        <v>42</v>
      </c>
      <c r="E52" s="8">
        <v>6</v>
      </c>
    </row>
    <row r="53" spans="4:5" x14ac:dyDescent="0.25">
      <c r="D53" s="8" t="s">
        <v>18</v>
      </c>
      <c r="E53" s="8">
        <v>2</v>
      </c>
    </row>
    <row r="54" spans="4:5" x14ac:dyDescent="0.25">
      <c r="D54" s="8" t="s">
        <v>38</v>
      </c>
      <c r="E54" s="8">
        <v>3</v>
      </c>
    </row>
    <row r="55" spans="4:5" x14ac:dyDescent="0.25">
      <c r="D55" s="8" t="s">
        <v>46</v>
      </c>
      <c r="E55" s="8">
        <v>10</v>
      </c>
    </row>
    <row r="56" spans="4:5" x14ac:dyDescent="0.25">
      <c r="D56" s="8" t="s">
        <v>60</v>
      </c>
      <c r="E56" s="8">
        <v>4</v>
      </c>
    </row>
    <row r="57" spans="4:5" x14ac:dyDescent="0.25">
      <c r="D57" s="8" t="s">
        <v>28</v>
      </c>
      <c r="E57" s="8">
        <v>3</v>
      </c>
    </row>
    <row r="58" spans="4:5" x14ac:dyDescent="0.25">
      <c r="D58" s="8" t="s">
        <v>35</v>
      </c>
      <c r="E58" s="8">
        <v>4</v>
      </c>
    </row>
    <row r="59" spans="4:5" x14ac:dyDescent="0.25">
      <c r="D59" s="8" t="s">
        <v>54</v>
      </c>
      <c r="E59" s="8">
        <v>4</v>
      </c>
    </row>
    <row r="60" spans="4:5" x14ac:dyDescent="0.25">
      <c r="D60" s="8" t="s">
        <v>40</v>
      </c>
      <c r="E60" s="8">
        <v>1</v>
      </c>
    </row>
    <row r="61" spans="4:5" x14ac:dyDescent="0.25">
      <c r="D61" s="8" t="s">
        <v>31</v>
      </c>
      <c r="E61" s="8">
        <v>2</v>
      </c>
    </row>
    <row r="62" spans="4:5" x14ac:dyDescent="0.25">
      <c r="D62" s="8" t="s">
        <v>58</v>
      </c>
      <c r="E62" s="8">
        <v>2</v>
      </c>
    </row>
    <row r="63" spans="4:5" x14ac:dyDescent="0.25">
      <c r="D63" s="8" t="s">
        <v>64</v>
      </c>
      <c r="E63" s="8">
        <v>2</v>
      </c>
    </row>
    <row r="64" spans="4:5" x14ac:dyDescent="0.25">
      <c r="D64" s="8" t="s">
        <v>75</v>
      </c>
      <c r="E64" s="8">
        <v>66</v>
      </c>
    </row>
    <row r="66" spans="3:9" ht="15.75" x14ac:dyDescent="0.25">
      <c r="C66" s="31" t="s">
        <v>81</v>
      </c>
    </row>
    <row r="68" spans="3:9" x14ac:dyDescent="0.25">
      <c r="C68" s="29" t="s">
        <v>74</v>
      </c>
      <c r="D68" s="25" t="s">
        <v>82</v>
      </c>
      <c r="E68" s="8"/>
      <c r="F68" s="8"/>
      <c r="G68" s="8"/>
      <c r="H68" s="8"/>
      <c r="I68" s="8"/>
    </row>
    <row r="69" spans="3:9" x14ac:dyDescent="0.25">
      <c r="C69" s="29" t="s">
        <v>77</v>
      </c>
      <c r="D69" s="28" t="s">
        <v>20</v>
      </c>
      <c r="E69" s="28" t="s">
        <v>29</v>
      </c>
      <c r="F69" s="28" t="s">
        <v>25</v>
      </c>
      <c r="G69" s="28" t="s">
        <v>36</v>
      </c>
      <c r="H69" s="28" t="s">
        <v>32</v>
      </c>
      <c r="I69" s="28" t="s">
        <v>75</v>
      </c>
    </row>
    <row r="70" spans="3:9" x14ac:dyDescent="0.25">
      <c r="C70" s="30" t="s">
        <v>19</v>
      </c>
      <c r="D70" s="8">
        <v>982000</v>
      </c>
      <c r="E70" s="8">
        <v>220000</v>
      </c>
      <c r="F70" s="8">
        <v>17500</v>
      </c>
      <c r="G70" s="8">
        <v>812400</v>
      </c>
      <c r="H70" s="8">
        <v>55500</v>
      </c>
      <c r="I70" s="8">
        <v>2087400</v>
      </c>
    </row>
    <row r="71" spans="3:9" x14ac:dyDescent="0.25">
      <c r="C71" s="30" t="s">
        <v>24</v>
      </c>
      <c r="D71" s="8">
        <v>300000</v>
      </c>
      <c r="E71" s="8">
        <v>189000</v>
      </c>
      <c r="F71" s="8">
        <v>455000</v>
      </c>
      <c r="G71" s="8">
        <v>42000</v>
      </c>
      <c r="H71" s="8">
        <v>306000</v>
      </c>
      <c r="I71" s="8">
        <v>1292000</v>
      </c>
    </row>
    <row r="72" spans="3:9" x14ac:dyDescent="0.25">
      <c r="C72" s="30" t="s">
        <v>75</v>
      </c>
      <c r="D72" s="8">
        <v>1282000</v>
      </c>
      <c r="E72" s="8">
        <v>409000</v>
      </c>
      <c r="F72" s="8">
        <v>472500</v>
      </c>
      <c r="G72" s="8">
        <v>854400</v>
      </c>
      <c r="H72" s="8">
        <v>361500</v>
      </c>
      <c r="I72" s="8">
        <v>3379400</v>
      </c>
    </row>
    <row r="94" spans="3:8" x14ac:dyDescent="0.25">
      <c r="C94" s="22" t="s">
        <v>83</v>
      </c>
    </row>
    <row r="96" spans="3:8" x14ac:dyDescent="0.25">
      <c r="D96" s="27" t="s">
        <v>72</v>
      </c>
      <c r="E96" s="27" t="s">
        <v>82</v>
      </c>
      <c r="F96" s="28"/>
      <c r="G96" s="28"/>
      <c r="H96" s="28"/>
    </row>
    <row r="97" spans="4:8" x14ac:dyDescent="0.25">
      <c r="D97" s="27" t="s">
        <v>77</v>
      </c>
      <c r="E97" s="28" t="s">
        <v>84</v>
      </c>
      <c r="F97" s="28" t="s">
        <v>85</v>
      </c>
      <c r="G97" s="28" t="s">
        <v>86</v>
      </c>
      <c r="H97" s="28" t="s">
        <v>75</v>
      </c>
    </row>
    <row r="98" spans="4:8" x14ac:dyDescent="0.25">
      <c r="D98" s="26" t="s">
        <v>66</v>
      </c>
      <c r="E98" s="8">
        <v>42000</v>
      </c>
      <c r="F98" s="8"/>
      <c r="G98" s="8"/>
      <c r="H98" s="8">
        <v>42000</v>
      </c>
    </row>
    <row r="99" spans="4:8" x14ac:dyDescent="0.25">
      <c r="D99" s="26" t="s">
        <v>48</v>
      </c>
      <c r="E99" s="8">
        <v>30000</v>
      </c>
      <c r="F99" s="8"/>
      <c r="G99" s="8"/>
      <c r="H99" s="8">
        <v>30000</v>
      </c>
    </row>
    <row r="100" spans="4:8" x14ac:dyDescent="0.25">
      <c r="D100" s="26" t="s">
        <v>56</v>
      </c>
      <c r="E100" s="8"/>
      <c r="F100" s="8"/>
      <c r="G100" s="8">
        <v>7000</v>
      </c>
      <c r="H100" s="8">
        <v>7000</v>
      </c>
    </row>
    <row r="101" spans="4:8" x14ac:dyDescent="0.25">
      <c r="D101" s="26" t="s">
        <v>23</v>
      </c>
      <c r="E101" s="8"/>
      <c r="F101" s="8">
        <v>3000</v>
      </c>
      <c r="G101" s="8"/>
      <c r="H101" s="8">
        <v>3000</v>
      </c>
    </row>
    <row r="102" spans="4:8" x14ac:dyDescent="0.25">
      <c r="D102" s="26" t="s">
        <v>52</v>
      </c>
      <c r="E102" s="8">
        <v>22000</v>
      </c>
      <c r="F102" s="8"/>
      <c r="G102" s="8"/>
      <c r="H102" s="8">
        <v>22000</v>
      </c>
    </row>
    <row r="103" spans="4:8" x14ac:dyDescent="0.25">
      <c r="D103" s="26" t="s">
        <v>44</v>
      </c>
      <c r="E103" s="8">
        <v>18000</v>
      </c>
      <c r="F103" s="8"/>
      <c r="G103" s="8"/>
      <c r="H103" s="8">
        <v>18000</v>
      </c>
    </row>
    <row r="104" spans="4:8" x14ac:dyDescent="0.25">
      <c r="D104" s="26" t="s">
        <v>62</v>
      </c>
      <c r="E104" s="8"/>
      <c r="F104" s="8"/>
      <c r="G104" s="8">
        <v>6000</v>
      </c>
      <c r="H104" s="8">
        <v>6000</v>
      </c>
    </row>
    <row r="105" spans="4:8" x14ac:dyDescent="0.25">
      <c r="D105" s="26" t="s">
        <v>50</v>
      </c>
      <c r="E105" s="8"/>
      <c r="F105" s="8">
        <v>2500</v>
      </c>
      <c r="G105" s="8"/>
      <c r="H105" s="8">
        <v>2500</v>
      </c>
    </row>
    <row r="106" spans="4:8" x14ac:dyDescent="0.25">
      <c r="D106" s="26" t="s">
        <v>42</v>
      </c>
      <c r="E106" s="8"/>
      <c r="F106" s="8">
        <v>1500</v>
      </c>
      <c r="G106" s="8"/>
      <c r="H106" s="8">
        <v>1500</v>
      </c>
    </row>
    <row r="107" spans="4:8" x14ac:dyDescent="0.25">
      <c r="D107" s="26" t="s">
        <v>18</v>
      </c>
      <c r="E107" s="8">
        <v>55000</v>
      </c>
      <c r="F107" s="8"/>
      <c r="G107" s="8"/>
      <c r="H107" s="8">
        <v>55000</v>
      </c>
    </row>
    <row r="108" spans="4:8" x14ac:dyDescent="0.25">
      <c r="D108" s="26" t="s">
        <v>38</v>
      </c>
      <c r="E108" s="8">
        <v>18000</v>
      </c>
      <c r="F108" s="8"/>
      <c r="G108" s="8"/>
      <c r="H108" s="8">
        <v>18000</v>
      </c>
    </row>
    <row r="109" spans="4:8" x14ac:dyDescent="0.25">
      <c r="D109" s="26" t="s">
        <v>46</v>
      </c>
      <c r="E109" s="8"/>
      <c r="F109" s="8">
        <v>800</v>
      </c>
      <c r="G109" s="8"/>
      <c r="H109" s="8">
        <v>800</v>
      </c>
    </row>
    <row r="110" spans="4:8" x14ac:dyDescent="0.25">
      <c r="D110" s="26" t="s">
        <v>60</v>
      </c>
      <c r="E110" s="8"/>
      <c r="F110" s="8"/>
      <c r="G110" s="8">
        <v>6500</v>
      </c>
      <c r="H110" s="8">
        <v>6500</v>
      </c>
    </row>
    <row r="111" spans="4:8" x14ac:dyDescent="0.25">
      <c r="D111" s="26" t="s">
        <v>28</v>
      </c>
      <c r="E111" s="8">
        <v>20000</v>
      </c>
      <c r="F111" s="8"/>
      <c r="G111" s="8"/>
      <c r="H111" s="8">
        <v>20000</v>
      </c>
    </row>
    <row r="112" spans="4:8" x14ac:dyDescent="0.25">
      <c r="D112" s="26" t="s">
        <v>35</v>
      </c>
      <c r="E112" s="8">
        <v>15000</v>
      </c>
      <c r="F112" s="8"/>
      <c r="G112" s="8"/>
      <c r="H112" s="8">
        <v>15000</v>
      </c>
    </row>
    <row r="113" spans="3:8" x14ac:dyDescent="0.25">
      <c r="D113" s="26" t="s">
        <v>54</v>
      </c>
      <c r="E113" s="8"/>
      <c r="F113" s="8"/>
      <c r="G113" s="8">
        <v>12000</v>
      </c>
      <c r="H113" s="8">
        <v>12000</v>
      </c>
    </row>
    <row r="114" spans="3:8" x14ac:dyDescent="0.25">
      <c r="D114" s="26" t="s">
        <v>40</v>
      </c>
      <c r="E114" s="8">
        <v>25000</v>
      </c>
      <c r="F114" s="8"/>
      <c r="G114" s="8"/>
      <c r="H114" s="8">
        <v>25000</v>
      </c>
    </row>
    <row r="115" spans="3:8" x14ac:dyDescent="0.25">
      <c r="D115" s="26" t="s">
        <v>31</v>
      </c>
      <c r="E115" s="8"/>
      <c r="F115" s="8"/>
      <c r="G115" s="8">
        <v>7000</v>
      </c>
      <c r="H115" s="8">
        <v>7000</v>
      </c>
    </row>
    <row r="116" spans="3:8" x14ac:dyDescent="0.25">
      <c r="D116" s="26" t="s">
        <v>58</v>
      </c>
      <c r="E116" s="8">
        <v>28000</v>
      </c>
      <c r="F116" s="8"/>
      <c r="G116" s="8"/>
      <c r="H116" s="8">
        <v>28000</v>
      </c>
    </row>
    <row r="117" spans="3:8" x14ac:dyDescent="0.25">
      <c r="D117" s="26" t="s">
        <v>64</v>
      </c>
      <c r="E117" s="8"/>
      <c r="F117" s="8"/>
      <c r="G117" s="8">
        <v>9000</v>
      </c>
      <c r="H117" s="8">
        <v>9000</v>
      </c>
    </row>
    <row r="118" spans="3:8" x14ac:dyDescent="0.25">
      <c r="D118" s="26" t="s">
        <v>75</v>
      </c>
      <c r="E118" s="8">
        <v>273000</v>
      </c>
      <c r="F118" s="8">
        <v>7800</v>
      </c>
      <c r="G118" s="8">
        <v>47500</v>
      </c>
      <c r="H118" s="8">
        <v>328300</v>
      </c>
    </row>
    <row r="122" spans="3:8" x14ac:dyDescent="0.25">
      <c r="C122" s="3" t="s">
        <v>87</v>
      </c>
      <c r="D122" s="2"/>
      <c r="E122" s="2"/>
      <c r="F122" s="2"/>
    </row>
    <row r="123" spans="3:8" x14ac:dyDescent="0.25">
      <c r="C123" s="2"/>
      <c r="D123" s="2"/>
      <c r="E123" s="2"/>
      <c r="F123" s="2"/>
    </row>
    <row r="124" spans="3:8" x14ac:dyDescent="0.25">
      <c r="C124" s="2"/>
      <c r="D124" s="27" t="s">
        <v>4</v>
      </c>
      <c r="E124" s="28" t="s">
        <v>88</v>
      </c>
      <c r="F124" s="28" t="s">
        <v>74</v>
      </c>
    </row>
    <row r="125" spans="3:8" x14ac:dyDescent="0.25">
      <c r="C125" s="2"/>
      <c r="D125" s="8" t="s">
        <v>66</v>
      </c>
      <c r="E125" s="8">
        <v>113400</v>
      </c>
      <c r="F125" s="8">
        <v>630000</v>
      </c>
    </row>
    <row r="126" spans="3:8" x14ac:dyDescent="0.25">
      <c r="C126" s="2"/>
      <c r="D126" s="8" t="s">
        <v>48</v>
      </c>
      <c r="E126" s="8">
        <v>54000</v>
      </c>
      <c r="F126" s="8">
        <v>300000</v>
      </c>
    </row>
    <row r="127" spans="3:8" x14ac:dyDescent="0.25">
      <c r="C127" s="2"/>
      <c r="D127" s="8" t="s">
        <v>56</v>
      </c>
      <c r="E127" s="8">
        <v>7560</v>
      </c>
      <c r="F127" s="8">
        <v>42000</v>
      </c>
    </row>
    <row r="128" spans="3:8" x14ac:dyDescent="0.25">
      <c r="C128" s="2"/>
      <c r="D128" s="8" t="s">
        <v>23</v>
      </c>
      <c r="E128" s="8">
        <v>2700</v>
      </c>
      <c r="F128" s="8">
        <v>15000</v>
      </c>
    </row>
    <row r="129" spans="3:6" x14ac:dyDescent="0.25">
      <c r="C129" s="2"/>
      <c r="D129" s="8" t="s">
        <v>52</v>
      </c>
      <c r="E129" s="8">
        <v>47520</v>
      </c>
      <c r="F129" s="8">
        <v>264000</v>
      </c>
    </row>
    <row r="130" spans="3:6" x14ac:dyDescent="0.25">
      <c r="C130" s="2"/>
      <c r="D130" s="8" t="s">
        <v>44</v>
      </c>
      <c r="E130" s="8">
        <v>25920</v>
      </c>
      <c r="F130" s="8">
        <v>144000</v>
      </c>
    </row>
    <row r="131" spans="3:6" x14ac:dyDescent="0.25">
      <c r="C131" s="2"/>
      <c r="D131" s="8" t="s">
        <v>62</v>
      </c>
      <c r="E131" s="8">
        <v>8640</v>
      </c>
      <c r="F131" s="8">
        <v>48000</v>
      </c>
    </row>
    <row r="132" spans="3:6" x14ac:dyDescent="0.25">
      <c r="C132" s="2"/>
      <c r="D132" s="8" t="s">
        <v>50</v>
      </c>
      <c r="E132" s="8">
        <v>3150</v>
      </c>
      <c r="F132" s="8">
        <v>17500</v>
      </c>
    </row>
    <row r="133" spans="3:6" x14ac:dyDescent="0.25">
      <c r="C133" s="2"/>
      <c r="D133" s="8" t="s">
        <v>42</v>
      </c>
      <c r="E133" s="8">
        <v>1350</v>
      </c>
      <c r="F133" s="8">
        <v>7500</v>
      </c>
    </row>
    <row r="134" spans="3:6" x14ac:dyDescent="0.25">
      <c r="C134" s="2"/>
      <c r="D134" s="8" t="s">
        <v>18</v>
      </c>
      <c r="E134" s="8">
        <v>99000</v>
      </c>
      <c r="F134" s="8">
        <v>550000</v>
      </c>
    </row>
    <row r="135" spans="3:6" x14ac:dyDescent="0.25">
      <c r="C135" s="2"/>
      <c r="D135" s="8" t="s">
        <v>38</v>
      </c>
      <c r="E135" s="8">
        <v>32400</v>
      </c>
      <c r="F135" s="8">
        <v>180000</v>
      </c>
    </row>
    <row r="136" spans="3:6" x14ac:dyDescent="0.25">
      <c r="C136" s="2"/>
      <c r="D136" s="8" t="s">
        <v>46</v>
      </c>
      <c r="E136" s="8">
        <v>432</v>
      </c>
      <c r="F136" s="8">
        <v>2400</v>
      </c>
    </row>
    <row r="137" spans="3:6" x14ac:dyDescent="0.25">
      <c r="C137" s="2"/>
      <c r="D137" s="8" t="s">
        <v>60</v>
      </c>
      <c r="E137" s="8">
        <v>11700</v>
      </c>
      <c r="F137" s="8">
        <v>65000</v>
      </c>
    </row>
    <row r="138" spans="3:6" x14ac:dyDescent="0.25">
      <c r="C138" s="2"/>
      <c r="D138" s="8" t="s">
        <v>28</v>
      </c>
      <c r="E138" s="8">
        <v>28800</v>
      </c>
      <c r="F138" s="8">
        <v>160000</v>
      </c>
    </row>
    <row r="139" spans="3:6" x14ac:dyDescent="0.25">
      <c r="C139" s="2"/>
      <c r="D139" s="8" t="s">
        <v>35</v>
      </c>
      <c r="E139" s="8">
        <v>32400</v>
      </c>
      <c r="F139" s="8">
        <v>180000</v>
      </c>
    </row>
    <row r="140" spans="3:6" x14ac:dyDescent="0.25">
      <c r="C140" s="2"/>
      <c r="D140" s="8" t="s">
        <v>54</v>
      </c>
      <c r="E140" s="8">
        <v>10800</v>
      </c>
      <c r="F140" s="8">
        <v>60000</v>
      </c>
    </row>
    <row r="141" spans="3:6" x14ac:dyDescent="0.25">
      <c r="C141" s="2"/>
      <c r="D141" s="8" t="s">
        <v>40</v>
      </c>
      <c r="E141" s="8">
        <v>67500</v>
      </c>
      <c r="F141" s="8">
        <v>375000</v>
      </c>
    </row>
    <row r="142" spans="3:6" x14ac:dyDescent="0.25">
      <c r="C142" s="2"/>
      <c r="D142" s="8" t="s">
        <v>31</v>
      </c>
      <c r="E142" s="8">
        <v>7560</v>
      </c>
      <c r="F142" s="8">
        <v>42000</v>
      </c>
    </row>
    <row r="143" spans="3:6" x14ac:dyDescent="0.25">
      <c r="C143" s="2"/>
      <c r="D143" s="8" t="s">
        <v>58</v>
      </c>
      <c r="E143" s="8">
        <v>45360</v>
      </c>
      <c r="F143" s="8">
        <v>252000</v>
      </c>
    </row>
    <row r="144" spans="3:6" x14ac:dyDescent="0.25">
      <c r="C144" s="2"/>
      <c r="D144" s="8" t="s">
        <v>64</v>
      </c>
      <c r="E144" s="8">
        <v>8100</v>
      </c>
      <c r="F144" s="8">
        <v>45000</v>
      </c>
    </row>
    <row r="145" spans="3:8" x14ac:dyDescent="0.25">
      <c r="C145" s="2"/>
      <c r="D145" s="8" t="s">
        <v>75</v>
      </c>
      <c r="E145" s="8">
        <v>608292</v>
      </c>
      <c r="F145" s="8">
        <v>3379400</v>
      </c>
    </row>
    <row r="149" spans="3:8" ht="15.75" x14ac:dyDescent="0.25">
      <c r="C149" s="31" t="s">
        <v>89</v>
      </c>
    </row>
    <row r="151" spans="3:8" ht="15.75" x14ac:dyDescent="0.25">
      <c r="C151" s="33" t="s">
        <v>90</v>
      </c>
    </row>
    <row r="153" spans="3:8" x14ac:dyDescent="0.25">
      <c r="D153" s="27" t="s">
        <v>77</v>
      </c>
      <c r="E153" s="28" t="s">
        <v>74</v>
      </c>
      <c r="F153" s="28" t="s">
        <v>91</v>
      </c>
      <c r="G153" s="28" t="s">
        <v>72</v>
      </c>
      <c r="H153" s="28" t="s">
        <v>80</v>
      </c>
    </row>
    <row r="154" spans="3:8" x14ac:dyDescent="0.25">
      <c r="D154" s="26" t="s">
        <v>66</v>
      </c>
      <c r="E154" s="8">
        <v>630000</v>
      </c>
      <c r="F154" s="8">
        <v>1</v>
      </c>
      <c r="G154" s="8">
        <v>42000</v>
      </c>
      <c r="H154" s="8">
        <v>1</v>
      </c>
    </row>
    <row r="155" spans="3:8" x14ac:dyDescent="0.25">
      <c r="D155" s="26" t="s">
        <v>48</v>
      </c>
      <c r="E155" s="8">
        <v>300000</v>
      </c>
      <c r="F155" s="8">
        <v>1</v>
      </c>
      <c r="G155" s="8">
        <v>30000</v>
      </c>
      <c r="H155" s="8">
        <v>2</v>
      </c>
    </row>
    <row r="156" spans="3:8" x14ac:dyDescent="0.25">
      <c r="D156" s="26" t="s">
        <v>56</v>
      </c>
      <c r="E156" s="8">
        <v>42000</v>
      </c>
      <c r="F156" s="8">
        <v>1</v>
      </c>
      <c r="G156" s="8">
        <v>7000</v>
      </c>
      <c r="H156" s="8">
        <v>3</v>
      </c>
    </row>
    <row r="157" spans="3:8" x14ac:dyDescent="0.25">
      <c r="D157" s="26" t="s">
        <v>23</v>
      </c>
      <c r="E157" s="8">
        <v>15000</v>
      </c>
      <c r="F157" s="8">
        <v>1</v>
      </c>
      <c r="G157" s="8">
        <v>3000</v>
      </c>
      <c r="H157" s="8">
        <v>5</v>
      </c>
    </row>
    <row r="158" spans="3:8" x14ac:dyDescent="0.25">
      <c r="D158" s="26" t="s">
        <v>52</v>
      </c>
      <c r="E158" s="8">
        <v>264000</v>
      </c>
      <c r="F158" s="8">
        <v>1</v>
      </c>
      <c r="G158" s="8">
        <v>22000</v>
      </c>
      <c r="H158" s="8">
        <v>2</v>
      </c>
    </row>
    <row r="159" spans="3:8" x14ac:dyDescent="0.25">
      <c r="D159" s="26" t="s">
        <v>44</v>
      </c>
      <c r="E159" s="8">
        <v>144000</v>
      </c>
      <c r="F159" s="8">
        <v>1</v>
      </c>
      <c r="G159" s="8">
        <v>18000</v>
      </c>
      <c r="H159" s="8">
        <v>2</v>
      </c>
    </row>
    <row r="160" spans="3:8" x14ac:dyDescent="0.25">
      <c r="D160" s="26" t="s">
        <v>62</v>
      </c>
      <c r="E160" s="8">
        <v>48000</v>
      </c>
      <c r="F160" s="8">
        <v>1</v>
      </c>
      <c r="G160" s="8">
        <v>6000</v>
      </c>
      <c r="H160" s="8">
        <v>3</v>
      </c>
    </row>
    <row r="161" spans="4:8" x14ac:dyDescent="0.25">
      <c r="D161" s="26" t="s">
        <v>50</v>
      </c>
      <c r="E161" s="8">
        <v>17500</v>
      </c>
      <c r="F161" s="8">
        <v>1</v>
      </c>
      <c r="G161" s="8">
        <v>2500</v>
      </c>
      <c r="H161" s="8">
        <v>5</v>
      </c>
    </row>
    <row r="162" spans="4:8" x14ac:dyDescent="0.25">
      <c r="D162" s="26" t="s">
        <v>42</v>
      </c>
      <c r="E162" s="8">
        <v>7500</v>
      </c>
      <c r="F162" s="8">
        <v>1</v>
      </c>
      <c r="G162" s="8">
        <v>1500</v>
      </c>
      <c r="H162" s="8">
        <v>6</v>
      </c>
    </row>
    <row r="163" spans="4:8" x14ac:dyDescent="0.25">
      <c r="D163" s="26" t="s">
        <v>18</v>
      </c>
      <c r="E163" s="8">
        <v>550000</v>
      </c>
      <c r="F163" s="8">
        <v>1</v>
      </c>
      <c r="G163" s="8">
        <v>55000</v>
      </c>
      <c r="H163" s="8">
        <v>2</v>
      </c>
    </row>
    <row r="164" spans="4:8" x14ac:dyDescent="0.25">
      <c r="D164" s="26" t="s">
        <v>38</v>
      </c>
      <c r="E164" s="8">
        <v>180000</v>
      </c>
      <c r="F164" s="8">
        <v>1</v>
      </c>
      <c r="G164" s="8">
        <v>18000</v>
      </c>
      <c r="H164" s="8">
        <v>3</v>
      </c>
    </row>
    <row r="165" spans="4:8" x14ac:dyDescent="0.25">
      <c r="D165" s="26" t="s">
        <v>46</v>
      </c>
      <c r="E165" s="8">
        <v>2400</v>
      </c>
      <c r="F165" s="8">
        <v>1</v>
      </c>
      <c r="G165" s="8">
        <v>800</v>
      </c>
      <c r="H165" s="8">
        <v>10</v>
      </c>
    </row>
    <row r="166" spans="4:8" x14ac:dyDescent="0.25">
      <c r="D166" s="26" t="s">
        <v>60</v>
      </c>
      <c r="E166" s="8">
        <v>65000</v>
      </c>
      <c r="F166" s="8">
        <v>1</v>
      </c>
      <c r="G166" s="8">
        <v>6500</v>
      </c>
      <c r="H166" s="8">
        <v>4</v>
      </c>
    </row>
    <row r="167" spans="4:8" x14ac:dyDescent="0.25">
      <c r="D167" s="26" t="s">
        <v>28</v>
      </c>
      <c r="E167" s="8">
        <v>160000</v>
      </c>
      <c r="F167" s="8">
        <v>1</v>
      </c>
      <c r="G167" s="8">
        <v>20000</v>
      </c>
      <c r="H167" s="8">
        <v>3</v>
      </c>
    </row>
    <row r="168" spans="4:8" x14ac:dyDescent="0.25">
      <c r="D168" s="26" t="s">
        <v>35</v>
      </c>
      <c r="E168" s="8">
        <v>180000</v>
      </c>
      <c r="F168" s="8">
        <v>1</v>
      </c>
      <c r="G168" s="8">
        <v>15000</v>
      </c>
      <c r="H168" s="8">
        <v>4</v>
      </c>
    </row>
    <row r="169" spans="4:8" x14ac:dyDescent="0.25">
      <c r="D169" s="26" t="s">
        <v>54</v>
      </c>
      <c r="E169" s="8">
        <v>60000</v>
      </c>
      <c r="F169" s="8">
        <v>1</v>
      </c>
      <c r="G169" s="8">
        <v>12000</v>
      </c>
      <c r="H169" s="8">
        <v>4</v>
      </c>
    </row>
    <row r="170" spans="4:8" x14ac:dyDescent="0.25">
      <c r="D170" s="26" t="s">
        <v>40</v>
      </c>
      <c r="E170" s="8">
        <v>375000</v>
      </c>
      <c r="F170" s="8">
        <v>1</v>
      </c>
      <c r="G170" s="8">
        <v>25000</v>
      </c>
      <c r="H170" s="8">
        <v>1</v>
      </c>
    </row>
    <row r="171" spans="4:8" x14ac:dyDescent="0.25">
      <c r="D171" s="26" t="s">
        <v>31</v>
      </c>
      <c r="E171" s="8">
        <v>42000</v>
      </c>
      <c r="F171" s="8">
        <v>1</v>
      </c>
      <c r="G171" s="8">
        <v>7000</v>
      </c>
      <c r="H171" s="8">
        <v>2</v>
      </c>
    </row>
    <row r="172" spans="4:8" x14ac:dyDescent="0.25">
      <c r="D172" s="26" t="s">
        <v>58</v>
      </c>
      <c r="E172" s="8">
        <v>252000</v>
      </c>
      <c r="F172" s="8">
        <v>1</v>
      </c>
      <c r="G172" s="8">
        <v>28000</v>
      </c>
      <c r="H172" s="8">
        <v>2</v>
      </c>
    </row>
    <row r="173" spans="4:8" x14ac:dyDescent="0.25">
      <c r="D173" s="26" t="s">
        <v>64</v>
      </c>
      <c r="E173" s="8">
        <v>45000</v>
      </c>
      <c r="F173" s="8">
        <v>1</v>
      </c>
      <c r="G173" s="8">
        <v>9000</v>
      </c>
      <c r="H173" s="8">
        <v>2</v>
      </c>
    </row>
    <row r="174" spans="4:8" x14ac:dyDescent="0.25">
      <c r="D174" s="26" t="s">
        <v>75</v>
      </c>
      <c r="E174" s="8">
        <v>3379400</v>
      </c>
      <c r="F174" s="8">
        <v>20</v>
      </c>
      <c r="G174" s="8">
        <v>328300</v>
      </c>
      <c r="H174" s="8">
        <v>66</v>
      </c>
    </row>
    <row r="178" spans="3:19" ht="15.75" x14ac:dyDescent="0.25">
      <c r="C178" s="32" t="s">
        <v>92</v>
      </c>
    </row>
    <row r="180" spans="3:19" ht="15.75" x14ac:dyDescent="0.25">
      <c r="C180" s="31" t="s">
        <v>93</v>
      </c>
      <c r="I180" s="31" t="s">
        <v>94</v>
      </c>
      <c r="O180" s="31" t="s">
        <v>95</v>
      </c>
      <c r="R180" s="31" t="s">
        <v>96</v>
      </c>
    </row>
    <row r="182" spans="3:19" x14ac:dyDescent="0.25">
      <c r="E182" s="27" t="s">
        <v>77</v>
      </c>
      <c r="F182" s="28" t="s">
        <v>74</v>
      </c>
      <c r="I182" s="25" t="s">
        <v>77</v>
      </c>
      <c r="J182" s="8" t="s">
        <v>74</v>
      </c>
      <c r="N182" s="27" t="s">
        <v>77</v>
      </c>
      <c r="O182" s="28" t="s">
        <v>74</v>
      </c>
      <c r="P182" s="28" t="s">
        <v>80</v>
      </c>
      <c r="R182" s="27" t="s">
        <v>77</v>
      </c>
      <c r="S182" s="28" t="s">
        <v>74</v>
      </c>
    </row>
    <row r="183" spans="3:19" x14ac:dyDescent="0.25">
      <c r="E183" s="26" t="s">
        <v>20</v>
      </c>
      <c r="F183" s="37">
        <v>1282000</v>
      </c>
      <c r="I183" s="26" t="s">
        <v>19</v>
      </c>
      <c r="J183" s="37">
        <v>2087400</v>
      </c>
      <c r="N183" s="26" t="s">
        <v>48</v>
      </c>
      <c r="O183" s="37">
        <v>300000</v>
      </c>
      <c r="P183" s="37">
        <v>2</v>
      </c>
      <c r="R183" s="34">
        <v>46204</v>
      </c>
      <c r="S183" s="8">
        <v>550000</v>
      </c>
    </row>
    <row r="184" spans="3:19" x14ac:dyDescent="0.25">
      <c r="E184" s="26" t="s">
        <v>29</v>
      </c>
      <c r="F184" s="37">
        <v>409000</v>
      </c>
      <c r="I184" s="26" t="s">
        <v>24</v>
      </c>
      <c r="J184" s="37">
        <v>1292000</v>
      </c>
      <c r="N184" s="26" t="s">
        <v>18</v>
      </c>
      <c r="O184" s="37">
        <v>550000</v>
      </c>
      <c r="P184" s="37">
        <v>2</v>
      </c>
      <c r="R184" s="34">
        <v>46205</v>
      </c>
      <c r="S184" s="8">
        <v>15000</v>
      </c>
    </row>
    <row r="185" spans="3:19" x14ac:dyDescent="0.25">
      <c r="E185" s="26" t="s">
        <v>25</v>
      </c>
      <c r="F185" s="37">
        <v>472500</v>
      </c>
      <c r="I185" s="26" t="s">
        <v>75</v>
      </c>
      <c r="J185" s="37">
        <v>3379400</v>
      </c>
      <c r="N185" s="26" t="s">
        <v>28</v>
      </c>
      <c r="O185" s="37">
        <v>160000</v>
      </c>
      <c r="P185" s="37">
        <v>3</v>
      </c>
      <c r="R185" s="34">
        <v>46206</v>
      </c>
      <c r="S185" s="8">
        <v>160000</v>
      </c>
    </row>
    <row r="186" spans="3:19" x14ac:dyDescent="0.25">
      <c r="E186" s="26" t="s">
        <v>36</v>
      </c>
      <c r="F186" s="37">
        <v>854400</v>
      </c>
      <c r="N186" s="26" t="s">
        <v>35</v>
      </c>
      <c r="O186" s="37">
        <v>180000</v>
      </c>
      <c r="P186" s="37">
        <v>4</v>
      </c>
      <c r="R186" s="34">
        <v>46207</v>
      </c>
      <c r="S186" s="8">
        <v>42000</v>
      </c>
    </row>
    <row r="187" spans="3:19" x14ac:dyDescent="0.25">
      <c r="E187" s="26" t="s">
        <v>32</v>
      </c>
      <c r="F187" s="37">
        <v>361500</v>
      </c>
      <c r="N187" s="26" t="s">
        <v>58</v>
      </c>
      <c r="O187" s="37">
        <v>252000</v>
      </c>
      <c r="P187" s="37">
        <v>2</v>
      </c>
      <c r="R187" s="34">
        <v>46208</v>
      </c>
      <c r="S187" s="8">
        <v>180000</v>
      </c>
    </row>
    <row r="188" spans="3:19" x14ac:dyDescent="0.25">
      <c r="E188" s="26" t="s">
        <v>75</v>
      </c>
      <c r="F188" s="37">
        <v>3379400</v>
      </c>
      <c r="N188" s="26" t="s">
        <v>75</v>
      </c>
      <c r="O188" s="37">
        <v>1442000</v>
      </c>
      <c r="P188" s="37">
        <v>13</v>
      </c>
      <c r="R188" s="34">
        <v>46209</v>
      </c>
      <c r="S188" s="8">
        <v>180000</v>
      </c>
    </row>
    <row r="189" spans="3:19" x14ac:dyDescent="0.25">
      <c r="R189" s="34">
        <v>46210</v>
      </c>
      <c r="S189" s="8">
        <v>375000</v>
      </c>
    </row>
    <row r="190" spans="3:19" x14ac:dyDescent="0.25">
      <c r="R190" s="34">
        <v>46211</v>
      </c>
      <c r="S190" s="8">
        <v>7500</v>
      </c>
    </row>
    <row r="191" spans="3:19" x14ac:dyDescent="0.25">
      <c r="R191" s="34">
        <v>46212</v>
      </c>
      <c r="S191" s="8">
        <v>144000</v>
      </c>
    </row>
    <row r="192" spans="3:19" x14ac:dyDescent="0.25">
      <c r="R192" s="34">
        <v>46213</v>
      </c>
      <c r="S192" s="8">
        <v>2400</v>
      </c>
    </row>
    <row r="193" spans="3:19" x14ac:dyDescent="0.25">
      <c r="R193" s="34">
        <v>46214</v>
      </c>
      <c r="S193" s="8">
        <v>300000</v>
      </c>
    </row>
    <row r="194" spans="3:19" x14ac:dyDescent="0.25">
      <c r="R194" s="34">
        <v>46215</v>
      </c>
      <c r="S194" s="8">
        <v>17500</v>
      </c>
    </row>
    <row r="195" spans="3:19" x14ac:dyDescent="0.25">
      <c r="R195" s="34">
        <v>46216</v>
      </c>
      <c r="S195" s="8">
        <v>264000</v>
      </c>
    </row>
    <row r="196" spans="3:19" x14ac:dyDescent="0.25">
      <c r="R196" s="34">
        <v>46217</v>
      </c>
      <c r="S196" s="8">
        <v>60000</v>
      </c>
    </row>
    <row r="197" spans="3:19" x14ac:dyDescent="0.25">
      <c r="R197" s="34">
        <v>46218</v>
      </c>
      <c r="S197" s="8">
        <v>42000</v>
      </c>
    </row>
    <row r="198" spans="3:19" x14ac:dyDescent="0.25">
      <c r="R198" s="34">
        <v>46219</v>
      </c>
      <c r="S198" s="8">
        <v>252000</v>
      </c>
    </row>
    <row r="199" spans="3:19" x14ac:dyDescent="0.25">
      <c r="R199" s="34">
        <v>46220</v>
      </c>
      <c r="S199" s="8">
        <v>65000</v>
      </c>
    </row>
    <row r="200" spans="3:19" x14ac:dyDescent="0.25">
      <c r="R200" s="34">
        <v>46221</v>
      </c>
      <c r="S200" s="8">
        <v>48000</v>
      </c>
    </row>
    <row r="201" spans="3:19" x14ac:dyDescent="0.25">
      <c r="R201" s="34">
        <v>46222</v>
      </c>
      <c r="S201" s="8">
        <v>45000</v>
      </c>
    </row>
    <row r="202" spans="3:19" x14ac:dyDescent="0.25">
      <c r="R202" s="34">
        <v>46223</v>
      </c>
      <c r="S202" s="8">
        <v>630000</v>
      </c>
    </row>
    <row r="203" spans="3:19" x14ac:dyDescent="0.25">
      <c r="R203" s="34" t="s">
        <v>75</v>
      </c>
      <c r="S203" s="8">
        <v>3379400</v>
      </c>
    </row>
    <row r="205" spans="3:19" ht="15.75" x14ac:dyDescent="0.25">
      <c r="C205" t="s">
        <v>97</v>
      </c>
    </row>
    <row r="208" spans="3:19" x14ac:dyDescent="0.25">
      <c r="D208" s="40" t="s">
        <v>77</v>
      </c>
      <c r="E208" s="22" t="s">
        <v>74</v>
      </c>
    </row>
    <row r="209" spans="4:5" x14ac:dyDescent="0.25">
      <c r="D209" s="38" t="s">
        <v>20</v>
      </c>
      <c r="E209" s="39">
        <v>1282000</v>
      </c>
    </row>
    <row r="210" spans="4:5" x14ac:dyDescent="0.25">
      <c r="D210" s="38" t="s">
        <v>29</v>
      </c>
      <c r="E210" s="39">
        <v>409000</v>
      </c>
    </row>
    <row r="211" spans="4:5" x14ac:dyDescent="0.25">
      <c r="D211" s="38" t="s">
        <v>25</v>
      </c>
      <c r="E211" s="39">
        <v>472500</v>
      </c>
    </row>
    <row r="212" spans="4:5" x14ac:dyDescent="0.25">
      <c r="D212" s="38" t="s">
        <v>36</v>
      </c>
      <c r="E212" s="39">
        <v>854400</v>
      </c>
    </row>
    <row r="213" spans="4:5" x14ac:dyDescent="0.25">
      <c r="D213" s="38" t="s">
        <v>32</v>
      </c>
      <c r="E213" s="39">
        <v>361500</v>
      </c>
    </row>
    <row r="214" spans="4:5" x14ac:dyDescent="0.25">
      <c r="D214" s="38" t="s">
        <v>75</v>
      </c>
      <c r="E214" s="39">
        <v>3379400</v>
      </c>
    </row>
    <row r="225" spans="3:5" ht="15.75" x14ac:dyDescent="0.25">
      <c r="C225" s="31" t="s">
        <v>98</v>
      </c>
    </row>
    <row r="228" spans="3:5" x14ac:dyDescent="0.25">
      <c r="C228" s="40" t="s">
        <v>77</v>
      </c>
      <c r="D228" s="40" t="s">
        <v>80</v>
      </c>
      <c r="E228" s="22" t="s">
        <v>74</v>
      </c>
    </row>
    <row r="229" spans="3:5" x14ac:dyDescent="0.25">
      <c r="C229" s="38" t="s">
        <v>26</v>
      </c>
      <c r="D229" s="39">
        <v>26</v>
      </c>
      <c r="E229" s="39">
        <v>1257500</v>
      </c>
    </row>
    <row r="230" spans="3:5" x14ac:dyDescent="0.25">
      <c r="C230" s="38" t="s">
        <v>21</v>
      </c>
      <c r="D230" s="39">
        <v>22</v>
      </c>
      <c r="E230" s="39">
        <v>1648400</v>
      </c>
    </row>
    <row r="231" spans="3:5" x14ac:dyDescent="0.25">
      <c r="C231" s="38" t="s">
        <v>33</v>
      </c>
      <c r="D231" s="39">
        <v>18</v>
      </c>
      <c r="E231" s="39">
        <v>473500</v>
      </c>
    </row>
    <row r="232" spans="3:5" x14ac:dyDescent="0.25">
      <c r="C232" s="38" t="s">
        <v>75</v>
      </c>
      <c r="D232" s="39">
        <v>66</v>
      </c>
      <c r="E232" s="39">
        <v>3379400</v>
      </c>
    </row>
    <row r="246" spans="3:4" ht="15.75" x14ac:dyDescent="0.25">
      <c r="C246" s="31" t="s">
        <v>103</v>
      </c>
    </row>
    <row r="248" spans="3:4" x14ac:dyDescent="0.25">
      <c r="C248" s="29" t="s">
        <v>102</v>
      </c>
      <c r="D248" s="35" t="s">
        <v>101</v>
      </c>
    </row>
    <row r="249" spans="3:4" x14ac:dyDescent="0.25">
      <c r="C249" s="30" t="s">
        <v>17</v>
      </c>
      <c r="D249" s="36">
        <v>99000</v>
      </c>
    </row>
    <row r="250" spans="3:4" x14ac:dyDescent="0.25">
      <c r="C250" s="30" t="s">
        <v>27</v>
      </c>
      <c r="D250" s="36">
        <v>55200</v>
      </c>
    </row>
    <row r="251" spans="3:4" x14ac:dyDescent="0.25">
      <c r="C251" s="30" t="s">
        <v>47</v>
      </c>
      <c r="D251" s="36">
        <v>54000</v>
      </c>
    </row>
    <row r="252" spans="3:4" x14ac:dyDescent="0.25">
      <c r="C252" s="30" t="s">
        <v>34</v>
      </c>
      <c r="D252" s="36">
        <v>52800</v>
      </c>
    </row>
    <row r="253" spans="3:4" x14ac:dyDescent="0.25">
      <c r="C253" s="30" t="s">
        <v>57</v>
      </c>
      <c r="D253" s="36">
        <v>50960</v>
      </c>
    </row>
    <row r="254" spans="3:4" x14ac:dyDescent="0.25">
      <c r="C254" s="30" t="s">
        <v>75</v>
      </c>
      <c r="D254" s="36">
        <v>311960</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 study</vt:lpstr>
      <vt:lpstr>pivot table &amp; charts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S0058354</cp:lastModifiedBy>
  <cp:revision/>
  <dcterms:created xsi:type="dcterms:W3CDTF">2026-07-21T04:21:23Z</dcterms:created>
  <dcterms:modified xsi:type="dcterms:W3CDTF">2026-07-23T09:56:02Z</dcterms:modified>
  <cp:category/>
  <cp:contentStatus/>
</cp:coreProperties>
</file>